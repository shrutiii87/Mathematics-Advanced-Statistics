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F0C8704E-33E9-412B-AA1D-9CCA3CECBF9E}" xr6:coauthVersionLast="36" xr6:coauthVersionMax="36" xr10:uidLastSave="{00000000-0000-0000-0000-000000000000}"/>
  <bookViews>
    <workbookView xWindow="0" yWindow="0" windowWidth="19200" windowHeight="6810" activeTab="4" xr2:uid="{00000000-000D-0000-FFFF-FFFF00000000}"/>
  </bookViews>
  <sheets>
    <sheet name="Household_Data" sheetId="1" r:id="rId1"/>
    <sheet name="Statistics" sheetId="3" r:id="rId2"/>
    <sheet name="Pivot Tables" sheetId="4" r:id="rId3"/>
    <sheet name="Dashboard" sheetId="2" r:id="rId4"/>
    <sheet name="Data Story &amp; Insights" sheetId="5" r:id="rId5"/>
  </sheets>
  <definedNames>
    <definedName name="_xlchart.v1.0" hidden="1">Household_Data!$C$1</definedName>
    <definedName name="_xlchart.v1.1" hidden="1">Household_Data!$C$2:$C$201</definedName>
    <definedName name="Slicer_Education_Level1">#N/A</definedName>
    <definedName name="Slicer_Owns_House">#N/A</definedName>
    <definedName name="Slicer_Urban_Rural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2" i="3" l="1"/>
  <c r="H11" i="3"/>
  <c r="H10" i="3"/>
  <c r="H9" i="3"/>
  <c r="H8" i="3"/>
  <c r="H7" i="3"/>
  <c r="H6" i="3"/>
  <c r="H5" i="3"/>
</calcChain>
</file>

<file path=xl/sharedStrings.xml><?xml version="1.0" encoding="utf-8"?>
<sst xmlns="http://schemas.openxmlformats.org/spreadsheetml/2006/main" count="847" uniqueCount="230">
  <si>
    <t>Household_ID</t>
  </si>
  <si>
    <t>Age_of_Household_Head</t>
  </si>
  <si>
    <t>Household_Income</t>
  </si>
  <si>
    <t>Education_Level</t>
  </si>
  <si>
    <t>Family_Size</t>
  </si>
  <si>
    <t>Owns_House</t>
  </si>
  <si>
    <t>Urban_Rural</t>
  </si>
  <si>
    <t>HH001</t>
  </si>
  <si>
    <t>Primary</t>
  </si>
  <si>
    <t>Yes</t>
  </si>
  <si>
    <t>Urban</t>
  </si>
  <si>
    <t>HH002</t>
  </si>
  <si>
    <t>No</t>
  </si>
  <si>
    <t>HH003</t>
  </si>
  <si>
    <t>Secondary</t>
  </si>
  <si>
    <t>HH004</t>
  </si>
  <si>
    <t>HH005</t>
  </si>
  <si>
    <t>Post-Grad</t>
  </si>
  <si>
    <t>HH006</t>
  </si>
  <si>
    <t>HH007</t>
  </si>
  <si>
    <t>Graduate</t>
  </si>
  <si>
    <t>HH008</t>
  </si>
  <si>
    <t>HH009</t>
  </si>
  <si>
    <t>HH010</t>
  </si>
  <si>
    <t>Rural</t>
  </si>
  <si>
    <t>HH011</t>
  </si>
  <si>
    <t>HH012</t>
  </si>
  <si>
    <t>HH013</t>
  </si>
  <si>
    <t>HH014</t>
  </si>
  <si>
    <t>HH015</t>
  </si>
  <si>
    <t>HH016</t>
  </si>
  <si>
    <t>HH017</t>
  </si>
  <si>
    <t>HH018</t>
  </si>
  <si>
    <t>HH019</t>
  </si>
  <si>
    <t>HH020</t>
  </si>
  <si>
    <t>HH021</t>
  </si>
  <si>
    <t>HH022</t>
  </si>
  <si>
    <t>HH023</t>
  </si>
  <si>
    <t>HH024</t>
  </si>
  <si>
    <t>HH025</t>
  </si>
  <si>
    <t>HH026</t>
  </si>
  <si>
    <t>HH027</t>
  </si>
  <si>
    <t>HH028</t>
  </si>
  <si>
    <t>HH029</t>
  </si>
  <si>
    <t>HH030</t>
  </si>
  <si>
    <t>HH031</t>
  </si>
  <si>
    <t>HH032</t>
  </si>
  <si>
    <t>HH033</t>
  </si>
  <si>
    <t>HH034</t>
  </si>
  <si>
    <t>HH035</t>
  </si>
  <si>
    <t>HH036</t>
  </si>
  <si>
    <t>HH037</t>
  </si>
  <si>
    <t>HH038</t>
  </si>
  <si>
    <t>HH039</t>
  </si>
  <si>
    <t>HH040</t>
  </si>
  <si>
    <t>HH041</t>
  </si>
  <si>
    <t>HH042</t>
  </si>
  <si>
    <t>HH043</t>
  </si>
  <si>
    <t>HH044</t>
  </si>
  <si>
    <t>HH045</t>
  </si>
  <si>
    <t>HH046</t>
  </si>
  <si>
    <t>HH047</t>
  </si>
  <si>
    <t>HH048</t>
  </si>
  <si>
    <t>HH049</t>
  </si>
  <si>
    <t>HH050</t>
  </si>
  <si>
    <t>HH051</t>
  </si>
  <si>
    <t>HH052</t>
  </si>
  <si>
    <t>HH053</t>
  </si>
  <si>
    <t>HH054</t>
  </si>
  <si>
    <t>HH055</t>
  </si>
  <si>
    <t>HH056</t>
  </si>
  <si>
    <t>HH057</t>
  </si>
  <si>
    <t>HH058</t>
  </si>
  <si>
    <t>HH059</t>
  </si>
  <si>
    <t>HH060</t>
  </si>
  <si>
    <t>HH061</t>
  </si>
  <si>
    <t>HH062</t>
  </si>
  <si>
    <t>HH063</t>
  </si>
  <si>
    <t>HH064</t>
  </si>
  <si>
    <t>HH065</t>
  </si>
  <si>
    <t>HH066</t>
  </si>
  <si>
    <t>HH067</t>
  </si>
  <si>
    <t>HH068</t>
  </si>
  <si>
    <t>HH069</t>
  </si>
  <si>
    <t>HH070</t>
  </si>
  <si>
    <t>HH071</t>
  </si>
  <si>
    <t>HH072</t>
  </si>
  <si>
    <t>HH073</t>
  </si>
  <si>
    <t>HH074</t>
  </si>
  <si>
    <t>HH075</t>
  </si>
  <si>
    <t>HH076</t>
  </si>
  <si>
    <t>HH077</t>
  </si>
  <si>
    <t>HH078</t>
  </si>
  <si>
    <t>HH079</t>
  </si>
  <si>
    <t>HH080</t>
  </si>
  <si>
    <t>HH081</t>
  </si>
  <si>
    <t>HH082</t>
  </si>
  <si>
    <t>HH083</t>
  </si>
  <si>
    <t>HH084</t>
  </si>
  <si>
    <t>HH085</t>
  </si>
  <si>
    <t>HH086</t>
  </si>
  <si>
    <t>HH087</t>
  </si>
  <si>
    <t>HH088</t>
  </si>
  <si>
    <t>HH089</t>
  </si>
  <si>
    <t>HH090</t>
  </si>
  <si>
    <t>HH091</t>
  </si>
  <si>
    <t>HH092</t>
  </si>
  <si>
    <t>HH093</t>
  </si>
  <si>
    <t>HH094</t>
  </si>
  <si>
    <t>HH095</t>
  </si>
  <si>
    <t>HH096</t>
  </si>
  <si>
    <t>HH097</t>
  </si>
  <si>
    <t>HH098</t>
  </si>
  <si>
    <t>HH099</t>
  </si>
  <si>
    <t>HH100</t>
  </si>
  <si>
    <t>HH101</t>
  </si>
  <si>
    <t>HH102</t>
  </si>
  <si>
    <t>HH103</t>
  </si>
  <si>
    <t>HH104</t>
  </si>
  <si>
    <t>HH105</t>
  </si>
  <si>
    <t>HH106</t>
  </si>
  <si>
    <t>HH107</t>
  </si>
  <si>
    <t>HH108</t>
  </si>
  <si>
    <t>HH109</t>
  </si>
  <si>
    <t>HH110</t>
  </si>
  <si>
    <t>HH111</t>
  </si>
  <si>
    <t>HH112</t>
  </si>
  <si>
    <t>HH113</t>
  </si>
  <si>
    <t>HH114</t>
  </si>
  <si>
    <t>HH115</t>
  </si>
  <si>
    <t>HH116</t>
  </si>
  <si>
    <t>HH117</t>
  </si>
  <si>
    <t>HH118</t>
  </si>
  <si>
    <t>HH119</t>
  </si>
  <si>
    <t>HH120</t>
  </si>
  <si>
    <t>HH121</t>
  </si>
  <si>
    <t>HH122</t>
  </si>
  <si>
    <t>HH123</t>
  </si>
  <si>
    <t>HH124</t>
  </si>
  <si>
    <t>HH125</t>
  </si>
  <si>
    <t>HH126</t>
  </si>
  <si>
    <t>HH127</t>
  </si>
  <si>
    <t>HH128</t>
  </si>
  <si>
    <t>HH129</t>
  </si>
  <si>
    <t>HH130</t>
  </si>
  <si>
    <t>HH131</t>
  </si>
  <si>
    <t>HH132</t>
  </si>
  <si>
    <t>HH133</t>
  </si>
  <si>
    <t>HH134</t>
  </si>
  <si>
    <t>HH135</t>
  </si>
  <si>
    <t>HH136</t>
  </si>
  <si>
    <t>HH137</t>
  </si>
  <si>
    <t>HH138</t>
  </si>
  <si>
    <t>HH139</t>
  </si>
  <si>
    <t>HH140</t>
  </si>
  <si>
    <t>HH141</t>
  </si>
  <si>
    <t>HH142</t>
  </si>
  <si>
    <t>HH143</t>
  </si>
  <si>
    <t>HH144</t>
  </si>
  <si>
    <t>HH145</t>
  </si>
  <si>
    <t>HH146</t>
  </si>
  <si>
    <t>HH147</t>
  </si>
  <si>
    <t>HH148</t>
  </si>
  <si>
    <t>HH149</t>
  </si>
  <si>
    <t>HH150</t>
  </si>
  <si>
    <t>HH151</t>
  </si>
  <si>
    <t>HH152</t>
  </si>
  <si>
    <t>HH153</t>
  </si>
  <si>
    <t>HH154</t>
  </si>
  <si>
    <t>HH155</t>
  </si>
  <si>
    <t>HH156</t>
  </si>
  <si>
    <t>HH157</t>
  </si>
  <si>
    <t>HH158</t>
  </si>
  <si>
    <t>HH159</t>
  </si>
  <si>
    <t>HH160</t>
  </si>
  <si>
    <t>HH161</t>
  </si>
  <si>
    <t>HH162</t>
  </si>
  <si>
    <t>HH163</t>
  </si>
  <si>
    <t>HH164</t>
  </si>
  <si>
    <t>HH165</t>
  </si>
  <si>
    <t>HH166</t>
  </si>
  <si>
    <t>HH167</t>
  </si>
  <si>
    <t>HH168</t>
  </si>
  <si>
    <t>HH169</t>
  </si>
  <si>
    <t>HH170</t>
  </si>
  <si>
    <t>HH171</t>
  </si>
  <si>
    <t>HH172</t>
  </si>
  <si>
    <t>HH173</t>
  </si>
  <si>
    <t>HH174</t>
  </si>
  <si>
    <t>HH175</t>
  </si>
  <si>
    <t>HH176</t>
  </si>
  <si>
    <t>HH177</t>
  </si>
  <si>
    <t>HH178</t>
  </si>
  <si>
    <t>HH179</t>
  </si>
  <si>
    <t>HH180</t>
  </si>
  <si>
    <t>HH181</t>
  </si>
  <si>
    <t>HH182</t>
  </si>
  <si>
    <t>HH183</t>
  </si>
  <si>
    <t>HH184</t>
  </si>
  <si>
    <t>HH185</t>
  </si>
  <si>
    <t>HH186</t>
  </si>
  <si>
    <t>HH187</t>
  </si>
  <si>
    <t>HH188</t>
  </si>
  <si>
    <t>HH189</t>
  </si>
  <si>
    <t>HH190</t>
  </si>
  <si>
    <t>HH191</t>
  </si>
  <si>
    <t>HH192</t>
  </si>
  <si>
    <t>HH193</t>
  </si>
  <si>
    <t>HH194</t>
  </si>
  <si>
    <t>HH195</t>
  </si>
  <si>
    <t>HH196</t>
  </si>
  <si>
    <t>HH197</t>
  </si>
  <si>
    <t>HH198</t>
  </si>
  <si>
    <t>HH199</t>
  </si>
  <si>
    <t>HH200</t>
  </si>
  <si>
    <t>Avg Income</t>
  </si>
  <si>
    <t>Median Income</t>
  </si>
  <si>
    <t>Max Income</t>
  </si>
  <si>
    <t>Min Income</t>
  </si>
  <si>
    <t>Std Dev</t>
  </si>
  <si>
    <t>IQR</t>
  </si>
  <si>
    <t>Avg Family Size</t>
  </si>
  <si>
    <t>Avg Age</t>
  </si>
  <si>
    <t>STATISTICS</t>
  </si>
  <si>
    <t>Row Labels</t>
  </si>
  <si>
    <t>Grand Total</t>
  </si>
  <si>
    <t>Average of Household_Income</t>
  </si>
  <si>
    <t>(blank)</t>
  </si>
  <si>
    <t>Count of Household_ID</t>
  </si>
  <si>
    <t>Average of Family_Size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</si>
</sst>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0" fontId="0" fillId="3" borderId="1" xfId="0" applyFill="1" applyBorder="1" applyAlignment="1">
      <alignment horizontal="center"/>
    </xf>
    <xf numFmtId="0" fontId="0" fillId="0" borderId="1" xfId="0"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0" borderId="0" xfId="0" pivotButton="1" applyAlignment="1">
      <alignment horizontal="center"/>
    </xf>
    <xf numFmtId="0" fontId="0" fillId="0" borderId="0" xfId="0" applyNumberFormat="1" applyAlignment="1">
      <alignment horizontal="center"/>
    </xf>
    <xf numFmtId="0" fontId="1" fillId="2" borderId="1" xfId="0" applyFont="1" applyFill="1" applyBorder="1" applyAlignment="1">
      <alignment horizontal="center"/>
    </xf>
  </cellXfs>
  <cellStyles count="1">
    <cellStyle name="Normal" xfId="0" builtinId="0"/>
  </cellStyles>
  <dxfs count="131">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[Household_Dataset_200_Records.xlsx]Pivot Tables!PivotTable3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Graduate</c:v>
                </c:pt>
                <c:pt idx="1">
                  <c:v>Post-Grad</c:v>
                </c:pt>
                <c:pt idx="2">
                  <c:v>Primary</c:v>
                </c:pt>
                <c:pt idx="3">
                  <c:v>Secondary</c:v>
                </c:pt>
              </c:strCache>
            </c:strRef>
          </c:cat>
          <c:val>
            <c:numRef>
              <c:f>'Pivot Tables'!$B$4:$B$8</c:f>
              <c:numCache>
                <c:formatCode>General</c:formatCode>
                <c:ptCount val="4"/>
                <c:pt idx="0">
                  <c:v>82390.155172413797</c:v>
                </c:pt>
                <c:pt idx="1">
                  <c:v>74832.541666666672</c:v>
                </c:pt>
                <c:pt idx="2">
                  <c:v>61884.177777777775</c:v>
                </c:pt>
                <c:pt idx="3">
                  <c:v>79204.591836734689</c:v>
                </c:pt>
              </c:numCache>
            </c:numRef>
          </c:val>
          <c:extLst>
            <c:ext xmlns:c16="http://schemas.microsoft.com/office/drawing/2014/chart" uri="{C3380CC4-5D6E-409C-BE32-E72D297353CC}">
              <c16:uniqueId val="{00000000-E0FE-4032-9420-39E665A6A9BC}"/>
            </c:ext>
          </c:extLst>
        </c:ser>
        <c:dLbls>
          <c:showLegendKey val="0"/>
          <c:showVal val="0"/>
          <c:showCatName val="0"/>
          <c:showSerName val="0"/>
          <c:showPercent val="0"/>
          <c:showBubbleSize val="0"/>
        </c:dLbls>
        <c:gapWidth val="219"/>
        <c:overlap val="-27"/>
        <c:axId val="1161296271"/>
        <c:axId val="479370639"/>
      </c:barChart>
      <c:catAx>
        <c:axId val="1161296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370639"/>
        <c:crosses val="autoZero"/>
        <c:auto val="1"/>
        <c:lblAlgn val="ctr"/>
        <c:lblOffset val="100"/>
        <c:noMultiLvlLbl val="0"/>
      </c:catAx>
      <c:valAx>
        <c:axId val="4793706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296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[Household_Dataset_200_Records.xlsx]Pivot Tables!PivotTable5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Urban</a:t>
            </a:r>
            <a:r>
              <a:rPr lang="en-US" baseline="0"/>
              <a:t> vs Rural split</a:t>
            </a:r>
          </a:p>
          <a:p>
            <a:pPr>
              <a:defRPr/>
            </a:pPr>
            <a:endParaRPr lang="en-US"/>
          </a:p>
        </c:rich>
      </c:tx>
      <c:layout>
        <c:manualLayout>
          <c:xMode val="edge"/>
          <c:yMode val="edge"/>
          <c:x val="0.18896805753547588"/>
          <c:y val="0.131736589059639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'Pivot Tables'!$E$3</c:f>
              <c:strCache>
                <c:ptCount val="1"/>
                <c:pt idx="0">
                  <c:v>Total</c:v>
                </c:pt>
              </c:strCache>
            </c:strRef>
          </c:tx>
          <c:dPt>
            <c:idx val="0"/>
            <c:bubble3D val="0"/>
            <c:explosion val="2"/>
            <c:spPr>
              <a:solidFill>
                <a:schemeClr val="accent1">
                  <a:shade val="65000"/>
                </a:schemeClr>
              </a:solidFill>
              <a:ln w="19050">
                <a:solidFill>
                  <a:schemeClr val="lt1"/>
                </a:solidFill>
              </a:ln>
              <a:effectLst/>
            </c:spPr>
            <c:extLst>
              <c:ext xmlns:c16="http://schemas.microsoft.com/office/drawing/2014/chart" uri="{C3380CC4-5D6E-409C-BE32-E72D297353CC}">
                <c16:uniqueId val="{00000001-22AC-4279-88A9-20FBFFC88AA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2AC-4279-88A9-20FBFFC88AA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22AC-4279-88A9-20FBFFC88AA9}"/>
              </c:ext>
            </c:extLst>
          </c:dPt>
          <c:cat>
            <c:strRef>
              <c:f>'Pivot Tables'!$D$4:$D$7</c:f>
              <c:strCache>
                <c:ptCount val="3"/>
                <c:pt idx="0">
                  <c:v>Rural</c:v>
                </c:pt>
                <c:pt idx="1">
                  <c:v>Urban</c:v>
                </c:pt>
                <c:pt idx="2">
                  <c:v>(blank)</c:v>
                </c:pt>
              </c:strCache>
            </c:strRef>
          </c:cat>
          <c:val>
            <c:numRef>
              <c:f>'Pivot Tables'!$E$4:$E$7</c:f>
              <c:numCache>
                <c:formatCode>General</c:formatCode>
                <c:ptCount val="3"/>
                <c:pt idx="0">
                  <c:v>97</c:v>
                </c:pt>
                <c:pt idx="1">
                  <c:v>103</c:v>
                </c:pt>
              </c:numCache>
            </c:numRef>
          </c:val>
          <c:extLst>
            <c:ext xmlns:c16="http://schemas.microsoft.com/office/drawing/2014/chart" uri="{C3380CC4-5D6E-409C-BE32-E72D297353CC}">
              <c16:uniqueId val="{00000006-22AC-4279-88A9-20FBFFC88AA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[Household_Dataset_200_Records.xlsx]Pivot Tables!PivotTable6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House Ownership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Tables'!$E$10</c:f>
              <c:strCache>
                <c:ptCount val="1"/>
                <c:pt idx="0">
                  <c:v>Total</c:v>
                </c:pt>
              </c:strCache>
            </c:strRef>
          </c:tx>
          <c:spPr>
            <a:solidFill>
              <a:schemeClr val="accent1"/>
            </a:solidFill>
            <a:ln>
              <a:noFill/>
            </a:ln>
            <a:effectLst/>
          </c:spPr>
          <c:invertIfNegative val="0"/>
          <c:cat>
            <c:strRef>
              <c:f>'Pivot Tables'!$D$11:$D$14</c:f>
              <c:strCache>
                <c:ptCount val="3"/>
                <c:pt idx="0">
                  <c:v>No</c:v>
                </c:pt>
                <c:pt idx="1">
                  <c:v>Yes</c:v>
                </c:pt>
                <c:pt idx="2">
                  <c:v>(blank)</c:v>
                </c:pt>
              </c:strCache>
            </c:strRef>
          </c:cat>
          <c:val>
            <c:numRef>
              <c:f>'Pivot Tables'!$E$11:$E$14</c:f>
              <c:numCache>
                <c:formatCode>General</c:formatCode>
                <c:ptCount val="3"/>
                <c:pt idx="0">
                  <c:v>109</c:v>
                </c:pt>
                <c:pt idx="1">
                  <c:v>91</c:v>
                </c:pt>
              </c:numCache>
            </c:numRef>
          </c:val>
          <c:extLst>
            <c:ext xmlns:c16="http://schemas.microsoft.com/office/drawing/2014/chart" uri="{C3380CC4-5D6E-409C-BE32-E72D297353CC}">
              <c16:uniqueId val="{00000000-F3A3-40DB-90F6-8F9D82676FA7}"/>
            </c:ext>
          </c:extLst>
        </c:ser>
        <c:dLbls>
          <c:showLegendKey val="0"/>
          <c:showVal val="0"/>
          <c:showCatName val="0"/>
          <c:showSerName val="0"/>
          <c:showPercent val="0"/>
          <c:showBubbleSize val="0"/>
        </c:dLbls>
        <c:gapWidth val="219"/>
        <c:overlap val="-27"/>
        <c:axId val="1169042751"/>
        <c:axId val="1366796479"/>
      </c:barChart>
      <c:catAx>
        <c:axId val="116904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796479"/>
        <c:crosses val="autoZero"/>
        <c:auto val="1"/>
        <c:lblAlgn val="ctr"/>
        <c:lblOffset val="100"/>
        <c:noMultiLvlLbl val="0"/>
      </c:catAx>
      <c:valAx>
        <c:axId val="1366796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04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[Household_Dataset_200_Records.xlsx]Pivot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a:t>
            </a:r>
            <a:r>
              <a:rPr lang="en-US" baseline="0"/>
              <a:t> by Education level</a:t>
            </a:r>
            <a:endParaRPr lang="en-US"/>
          </a:p>
        </c:rich>
      </c:tx>
      <c:layout>
        <c:manualLayout>
          <c:xMode val="edge"/>
          <c:yMode val="edge"/>
          <c:x val="0.13254474427225399"/>
          <c:y val="5.3734255292872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pieChart>
        <c:varyColors val="1"/>
        <c:ser>
          <c:idx val="0"/>
          <c:order val="0"/>
          <c:tx>
            <c:strRef>
              <c:f>'Pivot Tables'!$B$10</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3079-4EAB-8EA0-DB6225CDE100}"/>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3079-4EAB-8EA0-DB6225CDE100}"/>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3079-4EAB-8EA0-DB6225CDE100}"/>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3079-4EAB-8EA0-DB6225CDE100}"/>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3079-4EAB-8EA0-DB6225CDE100}"/>
              </c:ext>
            </c:extLst>
          </c:dPt>
          <c:cat>
            <c:strRef>
              <c:f>'Pivot Tables'!$A$11:$A$16</c:f>
              <c:strCache>
                <c:ptCount val="5"/>
                <c:pt idx="0">
                  <c:v>Graduate</c:v>
                </c:pt>
                <c:pt idx="1">
                  <c:v>Post-Grad</c:v>
                </c:pt>
                <c:pt idx="2">
                  <c:v>Primary</c:v>
                </c:pt>
                <c:pt idx="3">
                  <c:v>Secondary</c:v>
                </c:pt>
                <c:pt idx="4">
                  <c:v>(blank)</c:v>
                </c:pt>
              </c:strCache>
            </c:strRef>
          </c:cat>
          <c:val>
            <c:numRef>
              <c:f>'Pivot Tables'!$B$11:$B$16</c:f>
              <c:numCache>
                <c:formatCode>General</c:formatCode>
                <c:ptCount val="5"/>
                <c:pt idx="0">
                  <c:v>5.2931034482758621</c:v>
                </c:pt>
                <c:pt idx="1">
                  <c:v>5.875</c:v>
                </c:pt>
                <c:pt idx="2">
                  <c:v>5.6888888888888891</c:v>
                </c:pt>
                <c:pt idx="3">
                  <c:v>5.591836734693878</c:v>
                </c:pt>
              </c:numCache>
            </c:numRef>
          </c:val>
          <c:extLst>
            <c:ext xmlns:c16="http://schemas.microsoft.com/office/drawing/2014/chart" uri="{C3380CC4-5D6E-409C-BE32-E72D297353CC}">
              <c16:uniqueId val="{0000000A-3079-4EAB-8EA0-DB6225CDE10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Income Distribution</a:t>
            </a:r>
          </a:p>
          <a:p>
            <a:pPr algn="ctr" rtl="0">
              <a:defRPr/>
            </a:pPr>
            <a:endParaRPr lang="en-US" sz="1400" b="0" i="0" u="none" strike="noStrike" baseline="0">
              <a:solidFill>
                <a:sysClr val="windowText" lastClr="000000">
                  <a:lumMod val="65000"/>
                  <a:lumOff val="35000"/>
                </a:sysClr>
              </a:solidFill>
              <a:latin typeface="Calibri"/>
            </a:endParaRPr>
          </a:p>
        </cx:rich>
      </cx:tx>
    </cx:title>
    <cx:plotArea>
      <cx:plotAreaRegion>
        <cx:series layoutId="clusteredColumn" uniqueId="{0F5654A0-D05B-470E-BFE5-06E0E2B2840D}" formatIdx="0">
          <cx:tx>
            <cx:txData>
              <cx:f>_xlchart.v1.0</cx:f>
              <cx:v>Household_Income</cx:v>
            </cx:txData>
          </cx:tx>
          <cx:dataId val="0"/>
          <cx:layoutPr>
            <cx:binning intervalClosed="r"/>
          </cx:layoutPr>
        </cx:series>
      </cx:plotAreaRegion>
      <cx:axis id="0">
        <cx:catScaling gapWidth="0"/>
        <cx:tickLabels/>
      </cx:axis>
      <cx:axis id="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138544</xdr:colOff>
      <xdr:row>33</xdr:row>
      <xdr:rowOff>102146</xdr:rowOff>
    </xdr:to>
    <xdr:pic>
      <xdr:nvPicPr>
        <xdr:cNvPr id="3" name="Picture 2">
          <a:extLst>
            <a:ext uri="{FF2B5EF4-FFF2-40B4-BE49-F238E27FC236}">
              <a16:creationId xmlns:a16="http://schemas.microsoft.com/office/drawing/2014/main" id="{7D29CD5C-514E-44E4-B583-9A59E0C53F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152908" cy="6198146"/>
        </a:xfrm>
        <a:prstGeom prst="rect">
          <a:avLst/>
        </a:prstGeom>
      </xdr:spPr>
    </xdr:pic>
    <xdr:clientData/>
  </xdr:twoCellAnchor>
  <xdr:twoCellAnchor>
    <xdr:from>
      <xdr:col>4</xdr:col>
      <xdr:colOff>511175</xdr:colOff>
      <xdr:row>19</xdr:row>
      <xdr:rowOff>82425</xdr:rowOff>
    </xdr:from>
    <xdr:to>
      <xdr:col>10</xdr:col>
      <xdr:colOff>372836</xdr:colOff>
      <xdr:row>32</xdr:row>
      <xdr:rowOff>31325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3541AA3-1768-4AC4-B106-BDE75CE9E6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949575" y="3581275"/>
              <a:ext cx="3519261" cy="2342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588818</xdr:colOff>
      <xdr:row>19</xdr:row>
      <xdr:rowOff>8247</xdr:rowOff>
    </xdr:from>
    <xdr:to>
      <xdr:col>17</xdr:col>
      <xdr:colOff>450272</xdr:colOff>
      <xdr:row>32</xdr:row>
      <xdr:rowOff>103910</xdr:rowOff>
    </xdr:to>
    <xdr:graphicFrame macro="">
      <xdr:nvGraphicFramePr>
        <xdr:cNvPr id="5" name="Chart 4">
          <a:extLst>
            <a:ext uri="{FF2B5EF4-FFF2-40B4-BE49-F238E27FC236}">
              <a16:creationId xmlns:a16="http://schemas.microsoft.com/office/drawing/2014/main" id="{71D756A8-99BD-4560-B202-1C9231FD8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473364</xdr:colOff>
      <xdr:row>9</xdr:row>
      <xdr:rowOff>92365</xdr:rowOff>
    </xdr:from>
    <xdr:to>
      <xdr:col>8</xdr:col>
      <xdr:colOff>392545</xdr:colOff>
      <xdr:row>17</xdr:row>
      <xdr:rowOff>157018</xdr:rowOff>
    </xdr:to>
    <xdr:graphicFrame macro="">
      <xdr:nvGraphicFramePr>
        <xdr:cNvPr id="6" name="Chart 5">
          <a:extLst>
            <a:ext uri="{FF2B5EF4-FFF2-40B4-BE49-F238E27FC236}">
              <a16:creationId xmlns:a16="http://schemas.microsoft.com/office/drawing/2014/main" id="{BC086484-5D66-4024-8046-E038C4AAC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569122</xdr:colOff>
      <xdr:row>9</xdr:row>
      <xdr:rowOff>74706</xdr:rowOff>
    </xdr:from>
    <xdr:to>
      <xdr:col>17</xdr:col>
      <xdr:colOff>511394</xdr:colOff>
      <xdr:row>18</xdr:row>
      <xdr:rowOff>3496</xdr:rowOff>
    </xdr:to>
    <xdr:graphicFrame macro="">
      <xdr:nvGraphicFramePr>
        <xdr:cNvPr id="7" name="Chart 6">
          <a:extLst>
            <a:ext uri="{FF2B5EF4-FFF2-40B4-BE49-F238E27FC236}">
              <a16:creationId xmlns:a16="http://schemas.microsoft.com/office/drawing/2014/main" id="{1D56F88C-67A7-4233-983E-E776274AE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289995</xdr:colOff>
      <xdr:row>9</xdr:row>
      <xdr:rowOff>171825</xdr:rowOff>
    </xdr:from>
    <xdr:to>
      <xdr:col>12</xdr:col>
      <xdr:colOff>601723</xdr:colOff>
      <xdr:row>17</xdr:row>
      <xdr:rowOff>118985</xdr:rowOff>
    </xdr:to>
    <xdr:graphicFrame macro="">
      <xdr:nvGraphicFramePr>
        <xdr:cNvPr id="8" name="Chart 7">
          <a:extLst>
            <a:ext uri="{FF2B5EF4-FFF2-40B4-BE49-F238E27FC236}">
              <a16:creationId xmlns:a16="http://schemas.microsoft.com/office/drawing/2014/main" id="{031E8901-83BF-47DF-9769-3F1E27C4C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334818</xdr:colOff>
      <xdr:row>20</xdr:row>
      <xdr:rowOff>68120</xdr:rowOff>
    </xdr:from>
    <xdr:to>
      <xdr:col>4</xdr:col>
      <xdr:colOff>34637</xdr:colOff>
      <xdr:row>27</xdr:row>
      <xdr:rowOff>0</xdr:rowOff>
    </xdr:to>
    <mc:AlternateContent xmlns:mc="http://schemas.openxmlformats.org/markup-compatibility/2006" xmlns:a14="http://schemas.microsoft.com/office/drawing/2010/main">
      <mc:Choice Requires="a14">
        <xdr:graphicFrame macro="">
          <xdr:nvGraphicFramePr>
            <xdr:cNvPr id="18" name="Urban_Rural 1">
              <a:extLst>
                <a:ext uri="{FF2B5EF4-FFF2-40B4-BE49-F238E27FC236}">
                  <a16:creationId xmlns:a16="http://schemas.microsoft.com/office/drawing/2014/main" id="{825BE08D-540F-495F-813C-272D2461A01D}"/>
                </a:ext>
              </a:extLst>
            </xdr:cNvPr>
            <xdr:cNvGraphicFramePr/>
          </xdr:nvGraphicFramePr>
          <xdr:xfrm>
            <a:off x="0" y="0"/>
            <a:ext cx="0" cy="0"/>
          </xdr:xfrm>
          <a:graphic>
            <a:graphicData uri="http://schemas.microsoft.com/office/drawing/2010/slicer">
              <sle:slicer xmlns:sle="http://schemas.microsoft.com/office/drawing/2010/slicer" name="Urban_Rural 1"/>
            </a:graphicData>
          </a:graphic>
        </xdr:graphicFrame>
      </mc:Choice>
      <mc:Fallback xmlns="">
        <xdr:sp macro="" textlink="">
          <xdr:nvSpPr>
            <xdr:cNvPr id="0" name=""/>
            <xdr:cNvSpPr>
              <a:spLocks noTextEdit="1"/>
            </xdr:cNvSpPr>
          </xdr:nvSpPr>
          <xdr:spPr>
            <a:xfrm>
              <a:off x="336550" y="3762665"/>
              <a:ext cx="2157268"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334818</xdr:colOff>
      <xdr:row>11</xdr:row>
      <xdr:rowOff>123537</xdr:rowOff>
    </xdr:from>
    <xdr:to>
      <xdr:col>4</xdr:col>
      <xdr:colOff>46182</xdr:colOff>
      <xdr:row>19</xdr:row>
      <xdr:rowOff>173182</xdr:rowOff>
    </xdr:to>
    <mc:AlternateContent xmlns:mc="http://schemas.openxmlformats.org/markup-compatibility/2006" xmlns:a14="http://schemas.microsoft.com/office/drawing/2010/main">
      <mc:Choice Requires="a14">
        <xdr:graphicFrame macro="">
          <xdr:nvGraphicFramePr>
            <xdr:cNvPr id="2" name="Education_Level">
              <a:extLst>
                <a:ext uri="{FF2B5EF4-FFF2-40B4-BE49-F238E27FC236}">
                  <a16:creationId xmlns:a16="http://schemas.microsoft.com/office/drawing/2014/main" id="{6CF0AFD8-F108-45EA-8ABB-43C05909D506}"/>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334818" y="2119251"/>
              <a:ext cx="2142507" cy="1501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325004</xdr:colOff>
      <xdr:row>27</xdr:row>
      <xdr:rowOff>69273</xdr:rowOff>
    </xdr:from>
    <xdr:to>
      <xdr:col>4</xdr:col>
      <xdr:colOff>46182</xdr:colOff>
      <xdr:row>31</xdr:row>
      <xdr:rowOff>150091</xdr:rowOff>
    </xdr:to>
    <mc:AlternateContent xmlns:mc="http://schemas.openxmlformats.org/markup-compatibility/2006" xmlns:a14="http://schemas.microsoft.com/office/drawing/2010/main">
      <mc:Choice Requires="a14">
        <xdr:graphicFrame macro="">
          <xdr:nvGraphicFramePr>
            <xdr:cNvPr id="9" name="Owns_House">
              <a:extLst>
                <a:ext uri="{FF2B5EF4-FFF2-40B4-BE49-F238E27FC236}">
                  <a16:creationId xmlns:a16="http://schemas.microsoft.com/office/drawing/2014/main" id="{95087F4A-6ACF-4466-B5BC-11CD8CA36187}"/>
                </a:ext>
              </a:extLst>
            </xdr:cNvPr>
            <xdr:cNvGraphicFramePr/>
          </xdr:nvGraphicFramePr>
          <xdr:xfrm>
            <a:off x="0" y="0"/>
            <a:ext cx="0" cy="0"/>
          </xdr:xfrm>
          <a:graphic>
            <a:graphicData uri="http://schemas.microsoft.com/office/drawing/2010/slicer">
              <sle:slicer xmlns:sle="http://schemas.microsoft.com/office/drawing/2010/slicer" name="Owns_House"/>
            </a:graphicData>
          </a:graphic>
        </xdr:graphicFrame>
      </mc:Choice>
      <mc:Fallback xmlns="">
        <xdr:sp macro="" textlink="">
          <xdr:nvSpPr>
            <xdr:cNvPr id="0" name=""/>
            <xdr:cNvSpPr>
              <a:spLocks noTextEdit="1"/>
            </xdr:cNvSpPr>
          </xdr:nvSpPr>
          <xdr:spPr>
            <a:xfrm>
              <a:off x="325004" y="4967844"/>
              <a:ext cx="2152321" cy="806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99912</xdr:colOff>
      <xdr:row>6</xdr:row>
      <xdr:rowOff>25311</xdr:rowOff>
    </xdr:from>
    <xdr:ext cx="594009" cy="374141"/>
    <xdr:sp macro="" textlink="Statistics!H12">
      <xdr:nvSpPr>
        <xdr:cNvPr id="10" name="TextBox 9">
          <a:extLst>
            <a:ext uri="{FF2B5EF4-FFF2-40B4-BE49-F238E27FC236}">
              <a16:creationId xmlns:a16="http://schemas.microsoft.com/office/drawing/2014/main" id="{D1258052-F702-4327-BDA0-0C67500D1A0E}"/>
            </a:ext>
          </a:extLst>
        </xdr:cNvPr>
        <xdr:cNvSpPr txBox="1"/>
      </xdr:nvSpPr>
      <xdr:spPr>
        <a:xfrm>
          <a:off x="710489" y="1139003"/>
          <a:ext cx="59400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04C493F-0FA6-4615-979F-CEC77EA9AD4C}" type="TxLink">
            <a:rPr lang="en-US" sz="1800" b="0" i="0" u="none" strike="noStrike">
              <a:solidFill>
                <a:srgbClr val="000000"/>
              </a:solidFill>
              <a:latin typeface="Calibri"/>
              <a:cs typeface="Calibri"/>
            </a:rPr>
            <a:pPr/>
            <a:t>47.5</a:t>
          </a:fld>
          <a:endParaRPr lang="en-US" sz="1800"/>
        </a:p>
      </xdr:txBody>
    </xdr:sp>
    <xdr:clientData/>
  </xdr:oneCellAnchor>
  <xdr:oneCellAnchor>
    <xdr:from>
      <xdr:col>0</xdr:col>
      <xdr:colOff>557290</xdr:colOff>
      <xdr:row>4</xdr:row>
      <xdr:rowOff>114122</xdr:rowOff>
    </xdr:from>
    <xdr:ext cx="1024319" cy="405432"/>
    <xdr:sp macro="" textlink="">
      <xdr:nvSpPr>
        <xdr:cNvPr id="11" name="TextBox 10">
          <a:extLst>
            <a:ext uri="{FF2B5EF4-FFF2-40B4-BE49-F238E27FC236}">
              <a16:creationId xmlns:a16="http://schemas.microsoft.com/office/drawing/2014/main" id="{7C5227D5-41AC-4B29-BE22-2B1574327650}"/>
            </a:ext>
          </a:extLst>
        </xdr:cNvPr>
        <xdr:cNvSpPr txBox="1"/>
      </xdr:nvSpPr>
      <xdr:spPr>
        <a:xfrm>
          <a:off x="557290" y="856584"/>
          <a:ext cx="102431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t>Avg Age</a:t>
          </a:r>
        </a:p>
      </xdr:txBody>
    </xdr:sp>
    <xdr:clientData/>
  </xdr:oneCellAnchor>
  <xdr:oneCellAnchor>
    <xdr:from>
      <xdr:col>4</xdr:col>
      <xdr:colOff>539039</xdr:colOff>
      <xdr:row>6</xdr:row>
      <xdr:rowOff>8703</xdr:rowOff>
    </xdr:from>
    <xdr:ext cx="711028" cy="374141"/>
    <xdr:sp macro="" textlink="Statistics!H11">
      <xdr:nvSpPr>
        <xdr:cNvPr id="14" name="TextBox 13">
          <a:extLst>
            <a:ext uri="{FF2B5EF4-FFF2-40B4-BE49-F238E27FC236}">
              <a16:creationId xmlns:a16="http://schemas.microsoft.com/office/drawing/2014/main" id="{5E1C8076-93D5-46BA-9C92-1240E665CE1C}"/>
            </a:ext>
          </a:extLst>
        </xdr:cNvPr>
        <xdr:cNvSpPr txBox="1"/>
      </xdr:nvSpPr>
      <xdr:spPr>
        <a:xfrm>
          <a:off x="2977439" y="1113603"/>
          <a:ext cx="71102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1E3AEAF-7F7E-42C3-859F-5D3D1696A059}" type="TxLink">
            <a:rPr lang="en-US" sz="1800" b="0" i="0" u="none" strike="noStrike">
              <a:solidFill>
                <a:srgbClr val="000000"/>
              </a:solidFill>
              <a:latin typeface="Calibri"/>
              <a:cs typeface="Calibri"/>
            </a:rPr>
            <a:pPr/>
            <a:t>5.595</a:t>
          </a:fld>
          <a:endParaRPr lang="en-US" sz="3200"/>
        </a:p>
      </xdr:txBody>
    </xdr:sp>
    <xdr:clientData/>
  </xdr:oneCellAnchor>
  <xdr:oneCellAnchor>
    <xdr:from>
      <xdr:col>4</xdr:col>
      <xdr:colOff>17540</xdr:colOff>
      <xdr:row>4</xdr:row>
      <xdr:rowOff>107284</xdr:rowOff>
    </xdr:from>
    <xdr:ext cx="1753044" cy="405432"/>
    <xdr:sp macro="" textlink="">
      <xdr:nvSpPr>
        <xdr:cNvPr id="16" name="TextBox 15">
          <a:extLst>
            <a:ext uri="{FF2B5EF4-FFF2-40B4-BE49-F238E27FC236}">
              <a16:creationId xmlns:a16="http://schemas.microsoft.com/office/drawing/2014/main" id="{6630F156-7959-44E6-87FD-3E23A8710685}"/>
            </a:ext>
          </a:extLst>
        </xdr:cNvPr>
        <xdr:cNvSpPr txBox="1"/>
      </xdr:nvSpPr>
      <xdr:spPr>
        <a:xfrm>
          <a:off x="2455940" y="843884"/>
          <a:ext cx="175304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t>Avg Family</a:t>
          </a:r>
          <a:r>
            <a:rPr lang="en-US" sz="2000" baseline="0"/>
            <a:t> size</a:t>
          </a:r>
          <a:endParaRPr lang="en-US" sz="2000"/>
        </a:p>
      </xdr:txBody>
    </xdr:sp>
    <xdr:clientData/>
  </xdr:oneCellAnchor>
  <xdr:oneCellAnchor>
    <xdr:from>
      <xdr:col>8</xdr:col>
      <xdr:colOff>297739</xdr:colOff>
      <xdr:row>5</xdr:row>
      <xdr:rowOff>161103</xdr:rowOff>
    </xdr:from>
    <xdr:ext cx="769763" cy="374141"/>
    <xdr:sp macro="" textlink="Statistics!H8">
      <xdr:nvSpPr>
        <xdr:cNvPr id="17" name="TextBox 16">
          <a:extLst>
            <a:ext uri="{FF2B5EF4-FFF2-40B4-BE49-F238E27FC236}">
              <a16:creationId xmlns:a16="http://schemas.microsoft.com/office/drawing/2014/main" id="{0855EBB4-4B2B-41CF-94BD-80D96026BC3C}"/>
            </a:ext>
          </a:extLst>
        </xdr:cNvPr>
        <xdr:cNvSpPr txBox="1"/>
      </xdr:nvSpPr>
      <xdr:spPr>
        <a:xfrm>
          <a:off x="5174539" y="1081853"/>
          <a:ext cx="7697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2D5A19D-098A-49F8-90F1-3AD32CDBA92E}" type="TxLink">
            <a:rPr lang="en-US" sz="1800" b="0" i="0" u="none" strike="noStrike">
              <a:solidFill>
                <a:srgbClr val="000000"/>
              </a:solidFill>
              <a:latin typeface="Calibri"/>
              <a:cs typeface="Calibri"/>
            </a:rPr>
            <a:pPr/>
            <a:t>10106</a:t>
          </a:fld>
          <a:endParaRPr lang="en-US" sz="4800"/>
        </a:p>
      </xdr:txBody>
    </xdr:sp>
    <xdr:clientData/>
  </xdr:oneCellAnchor>
  <xdr:oneCellAnchor>
    <xdr:from>
      <xdr:col>7</xdr:col>
      <xdr:colOff>589040</xdr:colOff>
      <xdr:row>4</xdr:row>
      <xdr:rowOff>88234</xdr:rowOff>
    </xdr:from>
    <xdr:ext cx="1431097" cy="405432"/>
    <xdr:sp macro="" textlink="">
      <xdr:nvSpPr>
        <xdr:cNvPr id="20" name="TextBox 19">
          <a:extLst>
            <a:ext uri="{FF2B5EF4-FFF2-40B4-BE49-F238E27FC236}">
              <a16:creationId xmlns:a16="http://schemas.microsoft.com/office/drawing/2014/main" id="{C14D4D2B-14C9-4E76-9CFD-8BDC90738627}"/>
            </a:ext>
          </a:extLst>
        </xdr:cNvPr>
        <xdr:cNvSpPr txBox="1"/>
      </xdr:nvSpPr>
      <xdr:spPr>
        <a:xfrm>
          <a:off x="4856240" y="824834"/>
          <a:ext cx="143109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t>Min</a:t>
          </a:r>
          <a:r>
            <a:rPr lang="en-US" sz="2000" baseline="0"/>
            <a:t> Income</a:t>
          </a:r>
          <a:endParaRPr lang="en-US" sz="2000"/>
        </a:p>
      </xdr:txBody>
    </xdr:sp>
    <xdr:clientData/>
  </xdr:oneCellAnchor>
  <xdr:oneCellAnchor>
    <xdr:from>
      <xdr:col>11</xdr:col>
      <xdr:colOff>577139</xdr:colOff>
      <xdr:row>6</xdr:row>
      <xdr:rowOff>21403</xdr:rowOff>
    </xdr:from>
    <xdr:ext cx="1062086" cy="374141"/>
    <xdr:sp macro="" textlink="Statistics!H5">
      <xdr:nvSpPr>
        <xdr:cNvPr id="21" name="TextBox 20">
          <a:extLst>
            <a:ext uri="{FF2B5EF4-FFF2-40B4-BE49-F238E27FC236}">
              <a16:creationId xmlns:a16="http://schemas.microsoft.com/office/drawing/2014/main" id="{ED3B715A-C5CA-495B-A78E-8E14C789F11E}"/>
            </a:ext>
          </a:extLst>
        </xdr:cNvPr>
        <xdr:cNvSpPr txBox="1"/>
      </xdr:nvSpPr>
      <xdr:spPr>
        <a:xfrm>
          <a:off x="7282739" y="1126303"/>
          <a:ext cx="10620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9675611-36EC-49C2-9BC8-262089760EA1}" type="TxLink">
            <a:rPr lang="en-US" sz="1800" b="0" i="0" u="none" strike="noStrike">
              <a:solidFill>
                <a:srgbClr val="000000"/>
              </a:solidFill>
              <a:latin typeface="Calibri"/>
              <a:cs typeface="Calibri"/>
            </a:rPr>
            <a:pPr/>
            <a:t>75182.02</a:t>
          </a:fld>
          <a:endParaRPr lang="en-US" sz="7200"/>
        </a:p>
      </xdr:txBody>
    </xdr:sp>
    <xdr:clientData/>
  </xdr:oneCellAnchor>
  <xdr:oneCellAnchor>
    <xdr:from>
      <xdr:col>11</xdr:col>
      <xdr:colOff>373140</xdr:colOff>
      <xdr:row>4</xdr:row>
      <xdr:rowOff>81884</xdr:rowOff>
    </xdr:from>
    <xdr:ext cx="1403141" cy="405432"/>
    <xdr:sp macro="" textlink="">
      <xdr:nvSpPr>
        <xdr:cNvPr id="22" name="TextBox 21">
          <a:extLst>
            <a:ext uri="{FF2B5EF4-FFF2-40B4-BE49-F238E27FC236}">
              <a16:creationId xmlns:a16="http://schemas.microsoft.com/office/drawing/2014/main" id="{B909C149-F79D-478E-BC9A-BCC54618AED2}"/>
            </a:ext>
          </a:extLst>
        </xdr:cNvPr>
        <xdr:cNvSpPr txBox="1"/>
      </xdr:nvSpPr>
      <xdr:spPr>
        <a:xfrm>
          <a:off x="7078740" y="818484"/>
          <a:ext cx="140314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aseline="0"/>
            <a:t>Avg Income</a:t>
          </a:r>
          <a:endParaRPr lang="en-US" sz="2000"/>
        </a:p>
      </xdr:txBody>
    </xdr:sp>
    <xdr:clientData/>
  </xdr:oneCellAnchor>
  <xdr:oneCellAnchor>
    <xdr:from>
      <xdr:col>15</xdr:col>
      <xdr:colOff>349853</xdr:colOff>
      <xdr:row>6</xdr:row>
      <xdr:rowOff>11769</xdr:rowOff>
    </xdr:from>
    <xdr:ext cx="886781" cy="374141"/>
    <xdr:sp macro="" textlink="Statistics!H7">
      <xdr:nvSpPr>
        <xdr:cNvPr id="23" name="TextBox 22">
          <a:extLst>
            <a:ext uri="{FF2B5EF4-FFF2-40B4-BE49-F238E27FC236}">
              <a16:creationId xmlns:a16="http://schemas.microsoft.com/office/drawing/2014/main" id="{66CDB499-4C4E-4961-9107-28861E63EF57}"/>
            </a:ext>
          </a:extLst>
        </xdr:cNvPr>
        <xdr:cNvSpPr txBox="1"/>
      </xdr:nvSpPr>
      <xdr:spPr>
        <a:xfrm>
          <a:off x="9480715" y="1115355"/>
          <a:ext cx="8867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DF2C460-8625-4AB1-A122-B4238D0F0317}" type="TxLink">
            <a:rPr lang="en-US" sz="1800" b="0" i="0" u="none" strike="noStrike">
              <a:solidFill>
                <a:srgbClr val="000000"/>
              </a:solidFill>
              <a:latin typeface="Calibri"/>
              <a:cs typeface="Calibri"/>
            </a:rPr>
            <a:pPr/>
            <a:t>149885</a:t>
          </a:fld>
          <a:endParaRPr lang="en-US" sz="7200"/>
        </a:p>
      </xdr:txBody>
    </xdr:sp>
    <xdr:clientData/>
  </xdr:oneCellAnchor>
  <xdr:oneCellAnchor>
    <xdr:from>
      <xdr:col>15</xdr:col>
      <xdr:colOff>119140</xdr:colOff>
      <xdr:row>4</xdr:row>
      <xdr:rowOff>100934</xdr:rowOff>
    </xdr:from>
    <xdr:ext cx="1431097" cy="345756"/>
    <xdr:sp macro="" textlink="">
      <xdr:nvSpPr>
        <xdr:cNvPr id="24" name="TextBox 23">
          <a:extLst>
            <a:ext uri="{FF2B5EF4-FFF2-40B4-BE49-F238E27FC236}">
              <a16:creationId xmlns:a16="http://schemas.microsoft.com/office/drawing/2014/main" id="{CFE97DC5-02F1-40D9-AA44-1960817FC1F9}"/>
            </a:ext>
          </a:extLst>
        </xdr:cNvPr>
        <xdr:cNvSpPr txBox="1"/>
      </xdr:nvSpPr>
      <xdr:spPr>
        <a:xfrm>
          <a:off x="9250002" y="836658"/>
          <a:ext cx="1431097" cy="34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a:t>Max</a:t>
          </a:r>
          <a:r>
            <a:rPr lang="en-US" sz="2000" baseline="0"/>
            <a:t> Income</a:t>
          </a:r>
          <a:endParaRPr lang="en-US" sz="20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86670</xdr:colOff>
      <xdr:row>36</xdr:row>
      <xdr:rowOff>11545</xdr:rowOff>
    </xdr:to>
    <xdr:pic>
      <xdr:nvPicPr>
        <xdr:cNvPr id="7" name="Picture 6">
          <a:extLst>
            <a:ext uri="{FF2B5EF4-FFF2-40B4-BE49-F238E27FC236}">
              <a16:creationId xmlns:a16="http://schemas.microsoft.com/office/drawing/2014/main" id="{CDE7D774-DF49-4F0C-8442-65B187B528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712943" cy="6661727"/>
        </a:xfrm>
        <a:prstGeom prst="rect">
          <a:avLst/>
        </a:prstGeom>
      </xdr:spPr>
    </xdr:pic>
    <xdr:clientData/>
  </xdr:twoCellAnchor>
  <xdr:oneCellAnchor>
    <xdr:from>
      <xdr:col>1</xdr:col>
      <xdr:colOff>226786</xdr:colOff>
      <xdr:row>4</xdr:row>
      <xdr:rowOff>63501</xdr:rowOff>
    </xdr:from>
    <xdr:ext cx="10736812" cy="1188358"/>
    <xdr:sp macro="" textlink="">
      <xdr:nvSpPr>
        <xdr:cNvPr id="2" name="TextBox 1">
          <a:extLst>
            <a:ext uri="{FF2B5EF4-FFF2-40B4-BE49-F238E27FC236}">
              <a16:creationId xmlns:a16="http://schemas.microsoft.com/office/drawing/2014/main" id="{057350A5-9D0E-468B-985D-7EDA43A048A3}"/>
            </a:ext>
          </a:extLst>
        </xdr:cNvPr>
        <xdr:cNvSpPr txBox="1"/>
      </xdr:nvSpPr>
      <xdr:spPr>
        <a:xfrm>
          <a:off x="834572" y="789215"/>
          <a:ext cx="10736812" cy="1188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a:solidFill>
                <a:schemeClr val="tx1"/>
              </a:solidFill>
              <a:effectLst/>
              <a:latin typeface="+mn-lt"/>
              <a:ea typeface="+mn-ea"/>
              <a:cs typeface="+mn-cs"/>
            </a:rPr>
            <a:t>We analyzed 200 households across Urban and Rural areas of India. The data reveals a wide income gap, with households earning anywhere between ₹10,106 to ₹1,49,885 per month.</a:t>
          </a:r>
          <a:r>
            <a:rPr lang="en-US" sz="1400" b="0" i="0" baseline="0">
              <a:solidFill>
                <a:schemeClr val="tx1"/>
              </a:solidFill>
              <a:effectLst/>
              <a:latin typeface="+mn-lt"/>
              <a:ea typeface="+mn-ea"/>
              <a:cs typeface="+mn-cs"/>
            </a:rPr>
            <a:t> </a:t>
          </a:r>
          <a:r>
            <a:rPr lang="en-US" sz="1400" b="0" i="0">
              <a:solidFill>
                <a:schemeClr val="tx1"/>
              </a:solidFill>
              <a:effectLst/>
              <a:latin typeface="+mn-lt"/>
              <a:ea typeface="+mn-ea"/>
              <a:cs typeface="+mn-cs"/>
            </a:rPr>
            <a:t>Despite different education levels and locations, family sizes remain surprisingly similar around 5–6 members.</a:t>
          </a:r>
          <a:r>
            <a:rPr lang="en-US" sz="1400" b="0" i="0" baseline="0">
              <a:solidFill>
                <a:schemeClr val="tx1"/>
              </a:solidFill>
              <a:effectLst/>
              <a:latin typeface="+mn-lt"/>
              <a:ea typeface="+mn-ea"/>
              <a:cs typeface="+mn-cs"/>
            </a:rPr>
            <a:t> </a:t>
          </a:r>
          <a:r>
            <a:rPr lang="en-US" sz="1400" b="0" i="0">
              <a:solidFill>
                <a:schemeClr val="tx1"/>
              </a:solidFill>
              <a:effectLst/>
              <a:latin typeface="+mn-lt"/>
              <a:ea typeface="+mn-ea"/>
              <a:cs typeface="+mn-cs"/>
            </a:rPr>
            <a:t>Graduates earn the most on average at ₹82,390, while more households live without owning a house (109 vs 91). This report uncovers the key patterns hidden in the data.</a:t>
          </a:r>
          <a:endParaRPr lang="en-US" sz="1400"/>
        </a:p>
      </xdr:txBody>
    </xdr:sp>
    <xdr:clientData/>
  </xdr:oneCellAnchor>
  <xdr:oneCellAnchor>
    <xdr:from>
      <xdr:col>0</xdr:col>
      <xdr:colOff>288637</xdr:colOff>
      <xdr:row>11</xdr:row>
      <xdr:rowOff>23091</xdr:rowOff>
    </xdr:from>
    <xdr:ext cx="3177716" cy="1015919"/>
    <xdr:sp macro="" textlink="">
      <xdr:nvSpPr>
        <xdr:cNvPr id="3" name="TextBox 2">
          <a:extLst>
            <a:ext uri="{FF2B5EF4-FFF2-40B4-BE49-F238E27FC236}">
              <a16:creationId xmlns:a16="http://schemas.microsoft.com/office/drawing/2014/main" id="{037C916A-DB5A-4B24-98AE-04CD6751F3F5}"/>
            </a:ext>
          </a:extLst>
        </xdr:cNvPr>
        <xdr:cNvSpPr txBox="1"/>
      </xdr:nvSpPr>
      <xdr:spPr>
        <a:xfrm>
          <a:off x="288637" y="2077503"/>
          <a:ext cx="3177716" cy="1015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i="0">
              <a:solidFill>
                <a:schemeClr val="tx1"/>
              </a:solidFill>
              <a:effectLst/>
              <a:latin typeface="+mn-lt"/>
              <a:ea typeface="+mn-ea"/>
              <a:cs typeface="+mn-cs"/>
            </a:rPr>
            <a:t>Q1. What is the average household income?</a:t>
          </a:r>
        </a:p>
        <a:p>
          <a:r>
            <a:rPr lang="en-US" sz="1600" b="1" i="0">
              <a:solidFill>
                <a:schemeClr val="tx1"/>
              </a:solidFill>
              <a:effectLst/>
              <a:latin typeface="+mn-lt"/>
              <a:ea typeface="+mn-ea"/>
              <a:cs typeface="+mn-cs"/>
            </a:rPr>
            <a:t>₹75,182</a:t>
          </a:r>
        </a:p>
        <a:p>
          <a:endParaRPr lang="en-US" sz="1100"/>
        </a:p>
      </xdr:txBody>
    </xdr:sp>
    <xdr:clientData/>
  </xdr:oneCellAnchor>
  <xdr:oneCellAnchor>
    <xdr:from>
      <xdr:col>6</xdr:col>
      <xdr:colOff>302490</xdr:colOff>
      <xdr:row>11</xdr:row>
      <xdr:rowOff>13854</xdr:rowOff>
    </xdr:from>
    <xdr:ext cx="3231099" cy="843693"/>
    <xdr:sp macro="" textlink="">
      <xdr:nvSpPr>
        <xdr:cNvPr id="5" name="TextBox 4">
          <a:extLst>
            <a:ext uri="{FF2B5EF4-FFF2-40B4-BE49-F238E27FC236}">
              <a16:creationId xmlns:a16="http://schemas.microsoft.com/office/drawing/2014/main" id="{B3AD27D1-D7AB-4844-A407-4F5A81A36137}"/>
            </a:ext>
          </a:extLst>
        </xdr:cNvPr>
        <xdr:cNvSpPr txBox="1"/>
      </xdr:nvSpPr>
      <xdr:spPr>
        <a:xfrm>
          <a:off x="3978019" y="2068266"/>
          <a:ext cx="3231099"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i="0">
              <a:solidFill>
                <a:schemeClr val="tx1"/>
              </a:solidFill>
              <a:effectLst/>
              <a:latin typeface="+mn-lt"/>
              <a:ea typeface="+mn-ea"/>
              <a:cs typeface="+mn-cs"/>
            </a:rPr>
            <a:t>Q2. Is income distributed equally?</a:t>
          </a:r>
        </a:p>
        <a:p>
          <a:r>
            <a:rPr lang="en-US" sz="1600" b="1" i="0">
              <a:solidFill>
                <a:schemeClr val="tx1"/>
              </a:solidFill>
              <a:effectLst/>
              <a:latin typeface="+mn-lt"/>
              <a:ea typeface="+mn-ea"/>
              <a:cs typeface="+mn-cs"/>
            </a:rPr>
            <a:t>No</a:t>
          </a:r>
          <a:r>
            <a:rPr lang="en-US" sz="1600" b="0" i="0">
              <a:solidFill>
                <a:schemeClr val="tx1"/>
              </a:solidFill>
              <a:effectLst/>
              <a:latin typeface="+mn-lt"/>
              <a:ea typeface="+mn-ea"/>
              <a:cs typeface="+mn-cs"/>
            </a:rPr>
            <a:t> — </a:t>
          </a:r>
        </a:p>
        <a:p>
          <a:r>
            <a:rPr lang="en-US" sz="1600" b="0" i="0">
              <a:solidFill>
                <a:schemeClr val="tx1"/>
              </a:solidFill>
              <a:effectLst/>
              <a:latin typeface="+mn-lt"/>
              <a:ea typeface="+mn-ea"/>
              <a:cs typeface="+mn-cs"/>
            </a:rPr>
            <a:t>IQR = ₹72,998, Std Dev = ₹42,285</a:t>
          </a:r>
          <a:endParaRPr lang="en-US" sz="1600"/>
        </a:p>
      </xdr:txBody>
    </xdr:sp>
    <xdr:clientData/>
  </xdr:oneCellAnchor>
  <xdr:oneCellAnchor>
    <xdr:from>
      <xdr:col>0</xdr:col>
      <xdr:colOff>245590</xdr:colOff>
      <xdr:row>17</xdr:row>
      <xdr:rowOff>46017</xdr:rowOff>
    </xdr:from>
    <xdr:ext cx="3160465" cy="843693"/>
    <xdr:sp macro="" textlink="">
      <xdr:nvSpPr>
        <xdr:cNvPr id="6" name="TextBox 5">
          <a:extLst>
            <a:ext uri="{FF2B5EF4-FFF2-40B4-BE49-F238E27FC236}">
              <a16:creationId xmlns:a16="http://schemas.microsoft.com/office/drawing/2014/main" id="{19FF3BB3-B1DE-4F32-8CC4-45C8BF7B2E85}"/>
            </a:ext>
          </a:extLst>
        </xdr:cNvPr>
        <xdr:cNvSpPr txBox="1"/>
      </xdr:nvSpPr>
      <xdr:spPr>
        <a:xfrm>
          <a:off x="245590" y="3130303"/>
          <a:ext cx="3160465"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i="0">
              <a:solidFill>
                <a:schemeClr val="tx1"/>
              </a:solidFill>
              <a:effectLst/>
              <a:latin typeface="+mn-lt"/>
              <a:ea typeface="+mn-ea"/>
              <a:cs typeface="+mn-cs"/>
            </a:rPr>
            <a:t>Q3. Which education earns the</a:t>
          </a:r>
        </a:p>
        <a:p>
          <a:r>
            <a:rPr lang="en-US" sz="1600" b="0" i="0">
              <a:solidFill>
                <a:schemeClr val="tx1"/>
              </a:solidFill>
              <a:effectLst/>
              <a:latin typeface="+mn-lt"/>
              <a:ea typeface="+mn-ea"/>
              <a:cs typeface="+mn-cs"/>
            </a:rPr>
            <a:t> most?</a:t>
          </a:r>
        </a:p>
        <a:p>
          <a:r>
            <a:rPr lang="en-US" sz="1600" b="1" i="0">
              <a:solidFill>
                <a:schemeClr val="tx1"/>
              </a:solidFill>
              <a:effectLst/>
              <a:latin typeface="+mn-lt"/>
              <a:ea typeface="+mn-ea"/>
              <a:cs typeface="+mn-cs"/>
            </a:rPr>
            <a:t>Graduate →</a:t>
          </a:r>
          <a:r>
            <a:rPr lang="en-US" sz="1600" b="0" i="0">
              <a:solidFill>
                <a:schemeClr val="tx1"/>
              </a:solidFill>
              <a:effectLst/>
              <a:latin typeface="+mn-lt"/>
              <a:ea typeface="+mn-ea"/>
              <a:cs typeface="+mn-cs"/>
            </a:rPr>
            <a:t> </a:t>
          </a:r>
          <a:r>
            <a:rPr lang="en-US" sz="1600" b="1" i="0">
              <a:solidFill>
                <a:schemeClr val="tx1"/>
              </a:solidFill>
              <a:effectLst/>
              <a:latin typeface="+mn-lt"/>
              <a:ea typeface="+mn-ea"/>
              <a:cs typeface="+mn-cs"/>
            </a:rPr>
            <a:t>₹82,390 </a:t>
          </a:r>
          <a:r>
            <a:rPr lang="en-US" sz="1600" b="0" i="0">
              <a:solidFill>
                <a:schemeClr val="tx1"/>
              </a:solidFill>
              <a:effectLst/>
              <a:latin typeface="+mn-lt"/>
              <a:ea typeface="+mn-ea"/>
              <a:cs typeface="+mn-cs"/>
            </a:rPr>
            <a:t>avg income</a:t>
          </a:r>
        </a:p>
      </xdr:txBody>
    </xdr:sp>
    <xdr:clientData/>
  </xdr:oneCellAnchor>
  <xdr:oneCellAnchor>
    <xdr:from>
      <xdr:col>6</xdr:col>
      <xdr:colOff>212438</xdr:colOff>
      <xdr:row>17</xdr:row>
      <xdr:rowOff>73891</xdr:rowOff>
    </xdr:from>
    <xdr:ext cx="3388386" cy="843693"/>
    <xdr:sp macro="" textlink="">
      <xdr:nvSpPr>
        <xdr:cNvPr id="8" name="TextBox 7">
          <a:extLst>
            <a:ext uri="{FF2B5EF4-FFF2-40B4-BE49-F238E27FC236}">
              <a16:creationId xmlns:a16="http://schemas.microsoft.com/office/drawing/2014/main" id="{FD6B0CF1-EA49-431F-81E4-9999968B2A4A}"/>
            </a:ext>
          </a:extLst>
        </xdr:cNvPr>
        <xdr:cNvSpPr txBox="1"/>
      </xdr:nvSpPr>
      <xdr:spPr>
        <a:xfrm>
          <a:off x="3887967" y="3248891"/>
          <a:ext cx="3388386"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i="0">
              <a:solidFill>
                <a:schemeClr val="tx1"/>
              </a:solidFill>
              <a:effectLst/>
              <a:latin typeface="+mn-lt"/>
              <a:ea typeface="+mn-ea"/>
              <a:cs typeface="+mn-cs"/>
            </a:rPr>
            <a:t>Q4. Urban vs Rural — who earns </a:t>
          </a:r>
        </a:p>
        <a:p>
          <a:r>
            <a:rPr lang="en-US" sz="1600" b="0" i="0">
              <a:solidFill>
                <a:schemeClr val="tx1"/>
              </a:solidFill>
              <a:effectLst/>
              <a:latin typeface="+mn-lt"/>
              <a:ea typeface="+mn-ea"/>
              <a:cs typeface="+mn-cs"/>
            </a:rPr>
            <a:t>more?</a:t>
          </a:r>
        </a:p>
        <a:p>
          <a:r>
            <a:rPr lang="en-US" sz="1600" b="1" i="0">
              <a:solidFill>
                <a:schemeClr val="tx1"/>
              </a:solidFill>
              <a:effectLst/>
              <a:latin typeface="+mn-lt"/>
              <a:ea typeface="+mn-ea"/>
              <a:cs typeface="+mn-cs"/>
            </a:rPr>
            <a:t>Urban = 103 households vs Rural = 97</a:t>
          </a:r>
        </a:p>
      </xdr:txBody>
    </xdr:sp>
    <xdr:clientData/>
  </xdr:oneCellAnchor>
  <xdr:oneCellAnchor>
    <xdr:from>
      <xdr:col>0</xdr:col>
      <xdr:colOff>249112</xdr:colOff>
      <xdr:row>23</xdr:row>
      <xdr:rowOff>122110</xdr:rowOff>
    </xdr:from>
    <xdr:ext cx="3160465" cy="843693"/>
    <xdr:sp macro="" textlink="">
      <xdr:nvSpPr>
        <xdr:cNvPr id="9" name="TextBox 8">
          <a:extLst>
            <a:ext uri="{FF2B5EF4-FFF2-40B4-BE49-F238E27FC236}">
              <a16:creationId xmlns:a16="http://schemas.microsoft.com/office/drawing/2014/main" id="{B9CD903C-ED3D-4716-BD01-8898B3EA0C1F}"/>
            </a:ext>
          </a:extLst>
        </xdr:cNvPr>
        <xdr:cNvSpPr txBox="1"/>
      </xdr:nvSpPr>
      <xdr:spPr>
        <a:xfrm>
          <a:off x="249112" y="4417698"/>
          <a:ext cx="3160465"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i="0">
              <a:solidFill>
                <a:schemeClr val="tx1"/>
              </a:solidFill>
              <a:effectLst/>
              <a:latin typeface="+mn-lt"/>
              <a:ea typeface="+mn-ea"/>
              <a:cs typeface="+mn-cs"/>
            </a:rPr>
            <a:t>Q5. What is the most common family size?</a:t>
          </a:r>
        </a:p>
        <a:p>
          <a:r>
            <a:rPr lang="en-US" sz="1600" b="1" i="0">
              <a:solidFill>
                <a:schemeClr val="tx1"/>
              </a:solidFill>
              <a:effectLst/>
              <a:latin typeface="+mn-lt"/>
              <a:ea typeface="+mn-ea"/>
              <a:cs typeface="+mn-cs"/>
            </a:rPr>
            <a:t>Avg = 5.595</a:t>
          </a:r>
          <a:r>
            <a:rPr lang="en-US" sz="1600" b="0" i="0">
              <a:solidFill>
                <a:schemeClr val="tx1"/>
              </a:solidFill>
              <a:effectLst/>
              <a:latin typeface="+mn-lt"/>
              <a:ea typeface="+mn-ea"/>
              <a:cs typeface="+mn-cs"/>
            </a:rPr>
            <a:t> → 5 to 6 members</a:t>
          </a:r>
        </a:p>
      </xdr:txBody>
    </xdr:sp>
    <xdr:clientData/>
  </xdr:oneCellAnchor>
  <xdr:oneCellAnchor>
    <xdr:from>
      <xdr:col>6</xdr:col>
      <xdr:colOff>258184</xdr:colOff>
      <xdr:row>23</xdr:row>
      <xdr:rowOff>72483</xdr:rowOff>
    </xdr:from>
    <xdr:ext cx="3759634" cy="843693"/>
    <xdr:sp macro="" textlink="">
      <xdr:nvSpPr>
        <xdr:cNvPr id="10" name="TextBox 9">
          <a:extLst>
            <a:ext uri="{FF2B5EF4-FFF2-40B4-BE49-F238E27FC236}">
              <a16:creationId xmlns:a16="http://schemas.microsoft.com/office/drawing/2014/main" id="{C31EBD0E-6D2F-43BE-937D-185EB2350921}"/>
            </a:ext>
          </a:extLst>
        </xdr:cNvPr>
        <xdr:cNvSpPr txBox="1"/>
      </xdr:nvSpPr>
      <xdr:spPr>
        <a:xfrm>
          <a:off x="3929639" y="4321210"/>
          <a:ext cx="3759634"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i="0">
              <a:solidFill>
                <a:schemeClr val="tx1"/>
              </a:solidFill>
              <a:effectLst/>
              <a:latin typeface="+mn-lt"/>
              <a:ea typeface="+mn-ea"/>
              <a:cs typeface="+mn-cs"/>
            </a:rPr>
            <a:t>Q6. Does education affect family</a:t>
          </a:r>
          <a:r>
            <a:rPr lang="en-US" sz="1600" b="0" i="0" baseline="0">
              <a:solidFill>
                <a:schemeClr val="tx1"/>
              </a:solidFill>
              <a:effectLst/>
              <a:latin typeface="+mn-lt"/>
              <a:ea typeface="+mn-ea"/>
              <a:cs typeface="+mn-cs"/>
            </a:rPr>
            <a:t> </a:t>
          </a:r>
        </a:p>
        <a:p>
          <a:r>
            <a:rPr lang="en-US" sz="1600" b="0" i="0">
              <a:solidFill>
                <a:schemeClr val="tx1"/>
              </a:solidFill>
              <a:effectLst/>
              <a:latin typeface="+mn-lt"/>
              <a:ea typeface="+mn-ea"/>
              <a:cs typeface="+mn-cs"/>
            </a:rPr>
            <a:t>size?</a:t>
          </a:r>
        </a:p>
        <a:p>
          <a:r>
            <a:rPr lang="en-US" sz="1600" b="0" i="0">
              <a:solidFill>
                <a:schemeClr val="tx1"/>
              </a:solidFill>
              <a:effectLst/>
              <a:latin typeface="+mn-lt"/>
              <a:ea typeface="+mn-ea"/>
              <a:cs typeface="+mn-cs"/>
            </a:rPr>
            <a:t>No ,all groups avg between </a:t>
          </a:r>
          <a:r>
            <a:rPr lang="en-US" sz="1600" b="1" i="0">
              <a:solidFill>
                <a:schemeClr val="tx1"/>
              </a:solidFill>
              <a:effectLst/>
              <a:latin typeface="+mn-lt"/>
              <a:ea typeface="+mn-ea"/>
              <a:cs typeface="+mn-cs"/>
            </a:rPr>
            <a:t>5.29–5.87</a:t>
          </a:r>
        </a:p>
      </xdr:txBody>
    </xdr:sp>
    <xdr:clientData/>
  </xdr:oneCellAnchor>
  <xdr:oneCellAnchor>
    <xdr:from>
      <xdr:col>0</xdr:col>
      <xdr:colOff>211013</xdr:colOff>
      <xdr:row>29</xdr:row>
      <xdr:rowOff>106954</xdr:rowOff>
    </xdr:from>
    <xdr:ext cx="3506459" cy="843693"/>
    <xdr:sp macro="" textlink="">
      <xdr:nvSpPr>
        <xdr:cNvPr id="11" name="TextBox 10">
          <a:extLst>
            <a:ext uri="{FF2B5EF4-FFF2-40B4-BE49-F238E27FC236}">
              <a16:creationId xmlns:a16="http://schemas.microsoft.com/office/drawing/2014/main" id="{66FD2491-3C8E-48D5-80B8-A5D6159A1774}"/>
            </a:ext>
          </a:extLst>
        </xdr:cNvPr>
        <xdr:cNvSpPr txBox="1"/>
      </xdr:nvSpPr>
      <xdr:spPr>
        <a:xfrm>
          <a:off x="211013" y="5368383"/>
          <a:ext cx="3506459"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i="0">
              <a:solidFill>
                <a:schemeClr val="tx1"/>
              </a:solidFill>
              <a:effectLst/>
              <a:latin typeface="+mn-lt"/>
              <a:ea typeface="+mn-ea"/>
              <a:cs typeface="+mn-cs"/>
            </a:rPr>
            <a:t>Q7. How many households own a house?</a:t>
          </a:r>
        </a:p>
        <a:p>
          <a:r>
            <a:rPr lang="en-US" sz="1600" b="1" i="0">
              <a:solidFill>
                <a:schemeClr val="tx1"/>
              </a:solidFill>
              <a:effectLst/>
              <a:latin typeface="+mn-lt"/>
              <a:ea typeface="+mn-ea"/>
              <a:cs typeface="+mn-cs"/>
            </a:rPr>
            <a:t>No = 109, Yes = 91</a:t>
          </a:r>
        </a:p>
      </xdr:txBody>
    </xdr:sp>
    <xdr:clientData/>
  </xdr:oneCellAnchor>
  <xdr:oneCellAnchor>
    <xdr:from>
      <xdr:col>6</xdr:col>
      <xdr:colOff>245485</xdr:colOff>
      <xdr:row>29</xdr:row>
      <xdr:rowOff>96068</xdr:rowOff>
    </xdr:from>
    <xdr:ext cx="3506459" cy="843693"/>
    <xdr:sp macro="" textlink="">
      <xdr:nvSpPr>
        <xdr:cNvPr id="12" name="TextBox 11">
          <a:extLst>
            <a:ext uri="{FF2B5EF4-FFF2-40B4-BE49-F238E27FC236}">
              <a16:creationId xmlns:a16="http://schemas.microsoft.com/office/drawing/2014/main" id="{A4096088-1BBE-4CCF-B10D-9783E0E05F17}"/>
            </a:ext>
          </a:extLst>
        </xdr:cNvPr>
        <xdr:cNvSpPr txBox="1"/>
      </xdr:nvSpPr>
      <xdr:spPr>
        <a:xfrm>
          <a:off x="3916940" y="5453159"/>
          <a:ext cx="3506459"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i="0">
              <a:solidFill>
                <a:schemeClr val="tx1"/>
              </a:solidFill>
              <a:effectLst/>
              <a:latin typeface="+mn-lt"/>
              <a:ea typeface="+mn-ea"/>
              <a:cs typeface="+mn-cs"/>
            </a:rPr>
            <a:t>Q8. Is income distribution </a:t>
          </a:r>
        </a:p>
        <a:p>
          <a:r>
            <a:rPr lang="en-US" sz="1600" b="0" i="0">
              <a:solidFill>
                <a:schemeClr val="tx1"/>
              </a:solidFill>
              <a:effectLst/>
              <a:latin typeface="+mn-lt"/>
              <a:ea typeface="+mn-ea"/>
              <a:cs typeface="+mn-cs"/>
            </a:rPr>
            <a:t>normal?</a:t>
          </a:r>
        </a:p>
        <a:p>
          <a:r>
            <a:rPr lang="en-US" sz="1600" b="0" i="0">
              <a:solidFill>
                <a:schemeClr val="tx1"/>
              </a:solidFill>
              <a:effectLst/>
              <a:latin typeface="+mn-lt"/>
              <a:ea typeface="+mn-ea"/>
              <a:cs typeface="+mn-cs"/>
            </a:rPr>
            <a:t>Nearly , </a:t>
          </a:r>
          <a:r>
            <a:rPr lang="en-US" sz="1600" b="1" i="0">
              <a:solidFill>
                <a:schemeClr val="tx1"/>
              </a:solidFill>
              <a:effectLst/>
              <a:latin typeface="+mn-lt"/>
              <a:ea typeface="+mn-ea"/>
              <a:cs typeface="+mn-cs"/>
            </a:rPr>
            <a:t>Skewness 0.14, Kurtosis -1.27</a:t>
          </a:r>
        </a:p>
      </xdr:txBody>
    </xdr:sp>
    <xdr:clientData/>
  </xdr:oneCellAnchor>
  <xdr:oneCellAnchor>
    <xdr:from>
      <xdr:col>12</xdr:col>
      <xdr:colOff>529228</xdr:colOff>
      <xdr:row>14</xdr:row>
      <xdr:rowOff>54429</xdr:rowOff>
    </xdr:from>
    <xdr:ext cx="3688986" cy="1283444"/>
    <xdr:sp macro="" textlink="">
      <xdr:nvSpPr>
        <xdr:cNvPr id="13" name="TextBox 12">
          <a:extLst>
            <a:ext uri="{FF2B5EF4-FFF2-40B4-BE49-F238E27FC236}">
              <a16:creationId xmlns:a16="http://schemas.microsoft.com/office/drawing/2014/main" id="{79A4ED78-C787-466A-9F72-1C3AC41CB661}"/>
            </a:ext>
          </a:extLst>
        </xdr:cNvPr>
        <xdr:cNvSpPr txBox="1"/>
      </xdr:nvSpPr>
      <xdr:spPr>
        <a:xfrm>
          <a:off x="7822657" y="2594429"/>
          <a:ext cx="3688986" cy="12834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rPr>
            <a:t>Income is Unequal</a:t>
          </a:r>
          <a:r>
            <a:rPr lang="en-US" sz="1600">
              <a:solidFill>
                <a:schemeClr val="bg1"/>
              </a:solidFill>
            </a:rPr>
            <a:t> </a:t>
          </a:r>
          <a:r>
            <a:rPr lang="en-US" sz="1600" i="1">
              <a:solidFill>
                <a:schemeClr val="bg1"/>
              </a:solidFill>
            </a:rPr>
            <a:t>Mean</a:t>
          </a:r>
        </a:p>
        <a:p>
          <a:r>
            <a:rPr lang="en-US" sz="1600" i="1">
              <a:solidFill>
                <a:schemeClr val="bg1"/>
              </a:solidFill>
            </a:rPr>
            <a:t>(₹75,182) &gt; Median (₹72,085) — a few rich households pull the average up.</a:t>
          </a:r>
          <a:endParaRPr lang="en-US" sz="1600">
            <a:solidFill>
              <a:schemeClr val="bg1"/>
            </a:solidFill>
          </a:endParaRPr>
        </a:p>
      </xdr:txBody>
    </xdr:sp>
    <xdr:clientData/>
  </xdr:oneCellAnchor>
  <xdr:oneCellAnchor>
    <xdr:from>
      <xdr:col>12</xdr:col>
      <xdr:colOff>518342</xdr:colOff>
      <xdr:row>21</xdr:row>
      <xdr:rowOff>79829</xdr:rowOff>
    </xdr:from>
    <xdr:ext cx="3688986" cy="1283444"/>
    <xdr:sp macro="" textlink="">
      <xdr:nvSpPr>
        <xdr:cNvPr id="14" name="TextBox 13">
          <a:extLst>
            <a:ext uri="{FF2B5EF4-FFF2-40B4-BE49-F238E27FC236}">
              <a16:creationId xmlns:a16="http://schemas.microsoft.com/office/drawing/2014/main" id="{3B72574E-BF38-43C1-8A39-DD309D5086F9}"/>
            </a:ext>
          </a:extLst>
        </xdr:cNvPr>
        <xdr:cNvSpPr txBox="1"/>
      </xdr:nvSpPr>
      <xdr:spPr>
        <a:xfrm>
          <a:off x="7811771" y="3889829"/>
          <a:ext cx="3688986" cy="12834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rPr>
            <a:t>Most Don't Own a Home</a:t>
          </a:r>
          <a:r>
            <a:rPr lang="en-US" sz="1600">
              <a:solidFill>
                <a:schemeClr val="bg1"/>
              </a:solidFill>
            </a:rPr>
            <a:t> </a:t>
          </a:r>
          <a:r>
            <a:rPr lang="en-US" sz="1600" i="1">
              <a:solidFill>
                <a:schemeClr val="bg1"/>
              </a:solidFill>
            </a:rPr>
            <a:t>54.5% of households (109/200) do not own a house.</a:t>
          </a:r>
          <a:endParaRPr lang="en-US" sz="1600">
            <a:solidFill>
              <a:schemeClr val="bg1"/>
            </a:solidFill>
          </a:endParaRPr>
        </a:p>
      </xdr:txBody>
    </xdr:sp>
    <xdr:clientData/>
  </xdr:oneCellAnchor>
  <xdr:oneCellAnchor>
    <xdr:from>
      <xdr:col>12</xdr:col>
      <xdr:colOff>489314</xdr:colOff>
      <xdr:row>28</xdr:row>
      <xdr:rowOff>132444</xdr:rowOff>
    </xdr:from>
    <xdr:ext cx="3688986" cy="1283444"/>
    <xdr:sp macro="" textlink="">
      <xdr:nvSpPr>
        <xdr:cNvPr id="15" name="TextBox 14">
          <a:extLst>
            <a:ext uri="{FF2B5EF4-FFF2-40B4-BE49-F238E27FC236}">
              <a16:creationId xmlns:a16="http://schemas.microsoft.com/office/drawing/2014/main" id="{C7B02E8B-1FBC-44C0-BCF8-11133EF79065}"/>
            </a:ext>
          </a:extLst>
        </xdr:cNvPr>
        <xdr:cNvSpPr txBox="1"/>
      </xdr:nvSpPr>
      <xdr:spPr>
        <a:xfrm>
          <a:off x="7782743" y="5212444"/>
          <a:ext cx="3688986" cy="12834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rPr>
            <a:t>Urban Dominates</a:t>
          </a:r>
          <a:r>
            <a:rPr lang="en-US" sz="1600">
              <a:solidFill>
                <a:schemeClr val="bg1"/>
              </a:solidFill>
            </a:rPr>
            <a:t> </a:t>
          </a:r>
          <a:r>
            <a:rPr lang="en-US" sz="1600" i="1">
              <a:solidFill>
                <a:schemeClr val="bg1"/>
              </a:solidFill>
            </a:rPr>
            <a:t>103 out of 200 households are Urban — slightly more than Rural (97).</a:t>
          </a:r>
          <a:endParaRPr lang="en-US" sz="1600">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Household_Dataset_200_Record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Household_Dataset_200_Record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4.073660069444" createdVersion="6" refreshedVersion="6" minRefreshableVersion="3" recordCount="201" xr:uid="{DC57B3C3-51C8-4DE7-9D12-311C838FFFF3}">
  <cacheSource type="worksheet">
    <worksheetSource ref="A1:G1048576" sheet="Household_Data" r:id="rId2"/>
  </cacheSource>
  <cacheFields count="7">
    <cacheField name="Household_ID" numFmtId="0">
      <sharedItems containsBlank="1"/>
    </cacheField>
    <cacheField name="Age_of_Household_Head" numFmtId="0">
      <sharedItems containsString="0" containsBlank="1" containsNumber="1" containsInteger="1" minValue="23" maxValue="75" count="54">
        <n v="62"/>
        <n v="30"/>
        <n v="23"/>
        <n v="67"/>
        <n v="70"/>
        <n v="35"/>
        <n v="44"/>
        <n v="46"/>
        <n v="36"/>
        <n v="32"/>
        <n v="60"/>
        <n v="39"/>
        <n v="73"/>
        <n v="58"/>
        <n v="31"/>
        <n v="59"/>
        <n v="27"/>
        <n v="57"/>
        <n v="29"/>
        <n v="68"/>
        <n v="75"/>
        <n v="56"/>
        <n v="37"/>
        <n v="55"/>
        <n v="43"/>
        <n v="26"/>
        <n v="34"/>
        <n v="48"/>
        <n v="51"/>
        <n v="63"/>
        <n v="53"/>
        <n v="49"/>
        <n v="25"/>
        <n v="54"/>
        <n v="64"/>
        <n v="69"/>
        <n v="71"/>
        <n v="41"/>
        <n v="72"/>
        <n v="28"/>
        <n v="61"/>
        <n v="42"/>
        <n v="66"/>
        <n v="47"/>
        <n v="33"/>
        <n v="38"/>
        <n v="52"/>
        <n v="50"/>
        <n v="24"/>
        <n v="65"/>
        <n v="40"/>
        <n v="45"/>
        <n v="74"/>
        <m/>
      </sharedItems>
    </cacheField>
    <cacheField name="Household_Income" numFmtId="0">
      <sharedItems containsString="0" containsBlank="1" containsNumber="1" containsInteger="1" minValue="10106" maxValue="149885"/>
    </cacheField>
    <cacheField name="Education_Level" numFmtId="0">
      <sharedItems containsBlank="1" count="5">
        <s v="Primary"/>
        <s v="Secondary"/>
        <s v="Post-Grad"/>
        <s v="Graduate"/>
        <m/>
      </sharedItems>
    </cacheField>
    <cacheField name="Family_Size" numFmtId="0">
      <sharedItems containsString="0" containsBlank="1" containsNumber="1" containsInteger="1" minValue="1" maxValue="10"/>
    </cacheField>
    <cacheField name="Owns_House" numFmtId="0">
      <sharedItems containsBlank="1" count="3">
        <s v="Yes"/>
        <s v="No"/>
        <m/>
      </sharedItems>
    </cacheField>
    <cacheField name="Urban_Rural" numFmtId="0">
      <sharedItems containsBlank="1" count="3">
        <s v="Urban"/>
        <s v="Rural"/>
        <m/>
      </sharedItems>
    </cacheField>
  </cacheFields>
  <extLst>
    <ext xmlns:x14="http://schemas.microsoft.com/office/spreadsheetml/2009/9/main" uri="{725AE2AE-9491-48be-B2B4-4EB974FC3084}">
      <x14:pivotCacheDefinition pivotCacheId="5051488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4.10425798611" createdVersion="6" refreshedVersion="6" minRefreshableVersion="3" recordCount="200" xr:uid="{708AE13E-200A-4935-B27C-DCC2515DDF21}">
  <cacheSource type="worksheet">
    <worksheetSource ref="A1:G1048576" sheet="Household_Data" r:id="rId2"/>
  </cacheSource>
  <cacheFields count="7">
    <cacheField name="Household_ID" numFmtId="0">
      <sharedItems/>
    </cacheField>
    <cacheField name="Age_of_Household_Head" numFmtId="0">
      <sharedItems containsSemiMixedTypes="0" containsString="0" containsNumber="1" containsInteger="1" minValue="23" maxValue="75"/>
    </cacheField>
    <cacheField name="Household_Income" numFmtId="0">
      <sharedItems containsSemiMixedTypes="0" containsString="0" containsNumber="1" containsInteger="1" minValue="10106" maxValue="149885"/>
    </cacheField>
    <cacheField name="Education_Level" numFmtId="0">
      <sharedItems count="4">
        <s v="Primary"/>
        <s v="Secondary"/>
        <s v="Post-Grad"/>
        <s v="Graduate"/>
      </sharedItems>
    </cacheField>
    <cacheField name="Family_Size" numFmtId="0">
      <sharedItems containsSemiMixedTypes="0" containsString="0" containsNumber="1" containsInteger="1" minValue="1" maxValue="10"/>
    </cacheField>
    <cacheField name="Owns_House" numFmtId="0">
      <sharedItems/>
    </cacheField>
    <cacheField name="Urban_Rural" numFmtId="0">
      <sharedItems/>
    </cacheField>
  </cacheFields>
  <extLst>
    <ext xmlns:x14="http://schemas.microsoft.com/office/spreadsheetml/2009/9/main" uri="{725AE2AE-9491-48be-B2B4-4EB974FC3084}">
      <x14:pivotCacheDefinition pivotCacheId="1618107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HH001"/>
    <x v="0"/>
    <n v="39184"/>
    <x v="0"/>
    <n v="5"/>
    <x v="0"/>
    <x v="0"/>
  </r>
  <r>
    <s v="HH002"/>
    <x v="1"/>
    <n v="36868"/>
    <x v="0"/>
    <n v="10"/>
    <x v="1"/>
    <x v="0"/>
  </r>
  <r>
    <s v="HH003"/>
    <x v="2"/>
    <n v="34561"/>
    <x v="1"/>
    <n v="4"/>
    <x v="0"/>
    <x v="0"/>
  </r>
  <r>
    <s v="HH004"/>
    <x v="3"/>
    <n v="119974"/>
    <x v="1"/>
    <n v="8"/>
    <x v="1"/>
    <x v="0"/>
  </r>
  <r>
    <s v="HH005"/>
    <x v="4"/>
    <n v="51853"/>
    <x v="2"/>
    <n v="6"/>
    <x v="1"/>
    <x v="0"/>
  </r>
  <r>
    <s v="HH006"/>
    <x v="5"/>
    <n v="98236"/>
    <x v="0"/>
    <n v="2"/>
    <x v="1"/>
    <x v="0"/>
  </r>
  <r>
    <s v="HH007"/>
    <x v="6"/>
    <n v="100165"/>
    <x v="3"/>
    <n v="1"/>
    <x v="1"/>
    <x v="0"/>
  </r>
  <r>
    <s v="HH008"/>
    <x v="7"/>
    <n v="30656"/>
    <x v="3"/>
    <n v="10"/>
    <x v="1"/>
    <x v="0"/>
  </r>
  <r>
    <s v="HH009"/>
    <x v="3"/>
    <n v="28233"/>
    <x v="0"/>
    <n v="4"/>
    <x v="1"/>
    <x v="0"/>
  </r>
  <r>
    <s v="HH010"/>
    <x v="8"/>
    <n v="36476"/>
    <x v="2"/>
    <n v="5"/>
    <x v="1"/>
    <x v="1"/>
  </r>
  <r>
    <s v="HH011"/>
    <x v="9"/>
    <n v="107040"/>
    <x v="3"/>
    <n v="4"/>
    <x v="1"/>
    <x v="0"/>
  </r>
  <r>
    <s v="HH012"/>
    <x v="10"/>
    <n v="54862"/>
    <x v="1"/>
    <n v="3"/>
    <x v="1"/>
    <x v="1"/>
  </r>
  <r>
    <s v="HH013"/>
    <x v="11"/>
    <n v="67570"/>
    <x v="3"/>
    <n v="1"/>
    <x v="0"/>
    <x v="0"/>
  </r>
  <r>
    <s v="HH014"/>
    <x v="12"/>
    <n v="92694"/>
    <x v="2"/>
    <n v="5"/>
    <x v="0"/>
    <x v="0"/>
  </r>
  <r>
    <s v="HH015"/>
    <x v="13"/>
    <n v="92490"/>
    <x v="1"/>
    <n v="8"/>
    <x v="1"/>
    <x v="1"/>
  </r>
  <r>
    <s v="HH016"/>
    <x v="14"/>
    <n v="79436"/>
    <x v="1"/>
    <n v="4"/>
    <x v="1"/>
    <x v="1"/>
  </r>
  <r>
    <s v="HH017"/>
    <x v="15"/>
    <n v="114700"/>
    <x v="3"/>
    <n v="4"/>
    <x v="0"/>
    <x v="1"/>
  </r>
  <r>
    <s v="HH018"/>
    <x v="16"/>
    <n v="22351"/>
    <x v="0"/>
    <n v="3"/>
    <x v="0"/>
    <x v="1"/>
  </r>
  <r>
    <s v="HH019"/>
    <x v="10"/>
    <n v="26653"/>
    <x v="2"/>
    <n v="7"/>
    <x v="1"/>
    <x v="1"/>
  </r>
  <r>
    <s v="HH020"/>
    <x v="17"/>
    <n v="13009"/>
    <x v="0"/>
    <n v="9"/>
    <x v="1"/>
    <x v="1"/>
  </r>
  <r>
    <s v="HH021"/>
    <x v="18"/>
    <n v="86939"/>
    <x v="2"/>
    <n v="3"/>
    <x v="1"/>
    <x v="0"/>
  </r>
  <r>
    <s v="HH022"/>
    <x v="19"/>
    <n v="79045"/>
    <x v="1"/>
    <n v="9"/>
    <x v="0"/>
    <x v="1"/>
  </r>
  <r>
    <s v="HH023"/>
    <x v="20"/>
    <n v="143080"/>
    <x v="1"/>
    <n v="3"/>
    <x v="1"/>
    <x v="0"/>
  </r>
  <r>
    <s v="HH024"/>
    <x v="21"/>
    <n v="149029"/>
    <x v="0"/>
    <n v="10"/>
    <x v="1"/>
    <x v="1"/>
  </r>
  <r>
    <s v="HH025"/>
    <x v="2"/>
    <n v="39325"/>
    <x v="3"/>
    <n v="5"/>
    <x v="0"/>
    <x v="0"/>
  </r>
  <r>
    <s v="HH026"/>
    <x v="22"/>
    <n v="30645"/>
    <x v="0"/>
    <n v="8"/>
    <x v="0"/>
    <x v="0"/>
  </r>
  <r>
    <s v="HH027"/>
    <x v="1"/>
    <n v="134592"/>
    <x v="1"/>
    <n v="5"/>
    <x v="1"/>
    <x v="0"/>
  </r>
  <r>
    <s v="HH028"/>
    <x v="21"/>
    <n v="62730"/>
    <x v="3"/>
    <n v="7"/>
    <x v="1"/>
    <x v="1"/>
  </r>
  <r>
    <s v="HH029"/>
    <x v="23"/>
    <n v="128354"/>
    <x v="0"/>
    <n v="4"/>
    <x v="0"/>
    <x v="0"/>
  </r>
  <r>
    <s v="HH030"/>
    <x v="24"/>
    <n v="15514"/>
    <x v="1"/>
    <n v="10"/>
    <x v="0"/>
    <x v="0"/>
  </r>
  <r>
    <s v="HH031"/>
    <x v="25"/>
    <n v="25433"/>
    <x v="1"/>
    <n v="2"/>
    <x v="0"/>
    <x v="1"/>
  </r>
  <r>
    <s v="HH032"/>
    <x v="25"/>
    <n v="144782"/>
    <x v="1"/>
    <n v="5"/>
    <x v="1"/>
    <x v="0"/>
  </r>
  <r>
    <s v="HH033"/>
    <x v="21"/>
    <n v="44684"/>
    <x v="2"/>
    <n v="4"/>
    <x v="1"/>
    <x v="1"/>
  </r>
  <r>
    <s v="HH034"/>
    <x v="26"/>
    <n v="34726"/>
    <x v="0"/>
    <n v="7"/>
    <x v="1"/>
    <x v="1"/>
  </r>
  <r>
    <s v="HH035"/>
    <x v="27"/>
    <n v="132427"/>
    <x v="0"/>
    <n v="2"/>
    <x v="0"/>
    <x v="1"/>
  </r>
  <r>
    <s v="HH036"/>
    <x v="19"/>
    <n v="98946"/>
    <x v="0"/>
    <n v="4"/>
    <x v="0"/>
    <x v="0"/>
  </r>
  <r>
    <s v="HH037"/>
    <x v="21"/>
    <n v="127601"/>
    <x v="1"/>
    <n v="7"/>
    <x v="0"/>
    <x v="1"/>
  </r>
  <r>
    <s v="HH038"/>
    <x v="28"/>
    <n v="75485"/>
    <x v="0"/>
    <n v="8"/>
    <x v="0"/>
    <x v="0"/>
  </r>
  <r>
    <s v="HH039"/>
    <x v="29"/>
    <n v="13868"/>
    <x v="0"/>
    <n v="4"/>
    <x v="0"/>
    <x v="1"/>
  </r>
  <r>
    <s v="HH040"/>
    <x v="30"/>
    <n v="136185"/>
    <x v="1"/>
    <n v="7"/>
    <x v="0"/>
    <x v="0"/>
  </r>
  <r>
    <s v="HH041"/>
    <x v="7"/>
    <n v="10565"/>
    <x v="2"/>
    <n v="5"/>
    <x v="1"/>
    <x v="1"/>
  </r>
  <r>
    <s v="HH042"/>
    <x v="31"/>
    <n v="137577"/>
    <x v="1"/>
    <n v="4"/>
    <x v="1"/>
    <x v="0"/>
  </r>
  <r>
    <s v="HH043"/>
    <x v="32"/>
    <n v="25979"/>
    <x v="3"/>
    <n v="1"/>
    <x v="0"/>
    <x v="1"/>
  </r>
  <r>
    <s v="HH044"/>
    <x v="33"/>
    <n v="149231"/>
    <x v="1"/>
    <n v="1"/>
    <x v="0"/>
    <x v="0"/>
  </r>
  <r>
    <s v="HH045"/>
    <x v="25"/>
    <n v="27815"/>
    <x v="1"/>
    <n v="7"/>
    <x v="0"/>
    <x v="0"/>
  </r>
  <r>
    <s v="HH046"/>
    <x v="15"/>
    <n v="20418"/>
    <x v="0"/>
    <n v="7"/>
    <x v="1"/>
    <x v="1"/>
  </r>
  <r>
    <s v="HH047"/>
    <x v="5"/>
    <n v="92361"/>
    <x v="1"/>
    <n v="5"/>
    <x v="1"/>
    <x v="0"/>
  </r>
  <r>
    <s v="HH048"/>
    <x v="34"/>
    <n v="88642"/>
    <x v="2"/>
    <n v="6"/>
    <x v="0"/>
    <x v="0"/>
  </r>
  <r>
    <s v="HH049"/>
    <x v="28"/>
    <n v="36209"/>
    <x v="0"/>
    <n v="9"/>
    <x v="0"/>
    <x v="1"/>
  </r>
  <r>
    <s v="HH050"/>
    <x v="1"/>
    <n v="101490"/>
    <x v="0"/>
    <n v="4"/>
    <x v="1"/>
    <x v="1"/>
  </r>
  <r>
    <s v="HH051"/>
    <x v="9"/>
    <n v="124867"/>
    <x v="3"/>
    <n v="10"/>
    <x v="0"/>
    <x v="1"/>
  </r>
  <r>
    <s v="HH052"/>
    <x v="34"/>
    <n v="37154"/>
    <x v="1"/>
    <n v="5"/>
    <x v="0"/>
    <x v="0"/>
  </r>
  <r>
    <s v="HH053"/>
    <x v="35"/>
    <n v="50749"/>
    <x v="3"/>
    <n v="5"/>
    <x v="0"/>
    <x v="1"/>
  </r>
  <r>
    <s v="HH054"/>
    <x v="5"/>
    <n v="79201"/>
    <x v="2"/>
    <n v="5"/>
    <x v="0"/>
    <x v="0"/>
  </r>
  <r>
    <s v="HH055"/>
    <x v="0"/>
    <n v="121037"/>
    <x v="3"/>
    <n v="1"/>
    <x v="0"/>
    <x v="1"/>
  </r>
  <r>
    <s v="HH056"/>
    <x v="36"/>
    <n v="44293"/>
    <x v="3"/>
    <n v="3"/>
    <x v="1"/>
    <x v="1"/>
  </r>
  <r>
    <s v="HH057"/>
    <x v="17"/>
    <n v="12534"/>
    <x v="0"/>
    <n v="2"/>
    <x v="0"/>
    <x v="0"/>
  </r>
  <r>
    <s v="HH058"/>
    <x v="20"/>
    <n v="106787"/>
    <x v="1"/>
    <n v="7"/>
    <x v="0"/>
    <x v="0"/>
  </r>
  <r>
    <s v="HH059"/>
    <x v="37"/>
    <n v="105591"/>
    <x v="0"/>
    <n v="6"/>
    <x v="0"/>
    <x v="0"/>
  </r>
  <r>
    <s v="HH060"/>
    <x v="34"/>
    <n v="36946"/>
    <x v="3"/>
    <n v="9"/>
    <x v="1"/>
    <x v="0"/>
  </r>
  <r>
    <s v="HH061"/>
    <x v="22"/>
    <n v="52598"/>
    <x v="1"/>
    <n v="7"/>
    <x v="0"/>
    <x v="0"/>
  </r>
  <r>
    <s v="HH062"/>
    <x v="35"/>
    <n v="97080"/>
    <x v="2"/>
    <n v="4"/>
    <x v="1"/>
    <x v="0"/>
  </r>
  <r>
    <s v="HH063"/>
    <x v="38"/>
    <n v="38336"/>
    <x v="2"/>
    <n v="1"/>
    <x v="1"/>
    <x v="0"/>
  </r>
  <r>
    <s v="HH064"/>
    <x v="26"/>
    <n v="130665"/>
    <x v="3"/>
    <n v="5"/>
    <x v="0"/>
    <x v="0"/>
  </r>
  <r>
    <s v="HH065"/>
    <x v="2"/>
    <n v="60627"/>
    <x v="2"/>
    <n v="6"/>
    <x v="1"/>
    <x v="0"/>
  </r>
  <r>
    <s v="HH066"/>
    <x v="36"/>
    <n v="83170"/>
    <x v="3"/>
    <n v="9"/>
    <x v="1"/>
    <x v="1"/>
  </r>
  <r>
    <s v="HH067"/>
    <x v="2"/>
    <n v="40236"/>
    <x v="3"/>
    <n v="3"/>
    <x v="1"/>
    <x v="0"/>
  </r>
  <r>
    <s v="HH068"/>
    <x v="39"/>
    <n v="123918"/>
    <x v="3"/>
    <n v="6"/>
    <x v="1"/>
    <x v="0"/>
  </r>
  <r>
    <s v="HH069"/>
    <x v="7"/>
    <n v="59828"/>
    <x v="3"/>
    <n v="1"/>
    <x v="1"/>
    <x v="0"/>
  </r>
  <r>
    <s v="HH070"/>
    <x v="23"/>
    <n v="61651"/>
    <x v="3"/>
    <n v="7"/>
    <x v="0"/>
    <x v="1"/>
  </r>
  <r>
    <s v="HH071"/>
    <x v="40"/>
    <n v="92291"/>
    <x v="0"/>
    <n v="5"/>
    <x v="1"/>
    <x v="1"/>
  </r>
  <r>
    <s v="HH072"/>
    <x v="41"/>
    <n v="115486"/>
    <x v="3"/>
    <n v="9"/>
    <x v="0"/>
    <x v="0"/>
  </r>
  <r>
    <s v="HH073"/>
    <x v="27"/>
    <n v="109390"/>
    <x v="1"/>
    <n v="10"/>
    <x v="1"/>
    <x v="1"/>
  </r>
  <r>
    <s v="HH074"/>
    <x v="17"/>
    <n v="10106"/>
    <x v="3"/>
    <n v="5"/>
    <x v="0"/>
    <x v="1"/>
  </r>
  <r>
    <s v="HH075"/>
    <x v="38"/>
    <n v="94475"/>
    <x v="2"/>
    <n v="8"/>
    <x v="1"/>
    <x v="0"/>
  </r>
  <r>
    <s v="HH076"/>
    <x v="33"/>
    <n v="134042"/>
    <x v="1"/>
    <n v="2"/>
    <x v="1"/>
    <x v="1"/>
  </r>
  <r>
    <s v="HH077"/>
    <x v="16"/>
    <n v="71569"/>
    <x v="3"/>
    <n v="4"/>
    <x v="0"/>
    <x v="0"/>
  </r>
  <r>
    <s v="HH078"/>
    <x v="2"/>
    <n v="22114"/>
    <x v="1"/>
    <n v="8"/>
    <x v="0"/>
    <x v="1"/>
  </r>
  <r>
    <s v="HH079"/>
    <x v="27"/>
    <n v="60970"/>
    <x v="2"/>
    <n v="8"/>
    <x v="1"/>
    <x v="0"/>
  </r>
  <r>
    <s v="HH080"/>
    <x v="14"/>
    <n v="11453"/>
    <x v="0"/>
    <n v="7"/>
    <x v="0"/>
    <x v="0"/>
  </r>
  <r>
    <s v="HH081"/>
    <x v="12"/>
    <n v="145779"/>
    <x v="2"/>
    <n v="1"/>
    <x v="0"/>
    <x v="0"/>
  </r>
  <r>
    <s v="HH082"/>
    <x v="28"/>
    <n v="44954"/>
    <x v="2"/>
    <n v="9"/>
    <x v="1"/>
    <x v="1"/>
  </r>
  <r>
    <s v="HH083"/>
    <x v="40"/>
    <n v="142324"/>
    <x v="2"/>
    <n v="9"/>
    <x v="1"/>
    <x v="0"/>
  </r>
  <r>
    <s v="HH084"/>
    <x v="35"/>
    <n v="134433"/>
    <x v="2"/>
    <n v="5"/>
    <x v="0"/>
    <x v="1"/>
  </r>
  <r>
    <s v="HH085"/>
    <x v="36"/>
    <n v="146655"/>
    <x v="2"/>
    <n v="4"/>
    <x v="1"/>
    <x v="1"/>
  </r>
  <r>
    <s v="HH086"/>
    <x v="25"/>
    <n v="84901"/>
    <x v="1"/>
    <n v="5"/>
    <x v="1"/>
    <x v="1"/>
  </r>
  <r>
    <s v="HH087"/>
    <x v="21"/>
    <n v="31122"/>
    <x v="1"/>
    <n v="3"/>
    <x v="0"/>
    <x v="1"/>
  </r>
  <r>
    <s v="HH088"/>
    <x v="42"/>
    <n v="50056"/>
    <x v="1"/>
    <n v="2"/>
    <x v="1"/>
    <x v="1"/>
  </r>
  <r>
    <s v="HH089"/>
    <x v="24"/>
    <n v="132139"/>
    <x v="2"/>
    <n v="1"/>
    <x v="0"/>
    <x v="1"/>
  </r>
  <r>
    <s v="HH090"/>
    <x v="7"/>
    <n v="15120"/>
    <x v="2"/>
    <n v="8"/>
    <x v="0"/>
    <x v="1"/>
  </r>
  <r>
    <s v="HH091"/>
    <x v="37"/>
    <n v="112232"/>
    <x v="2"/>
    <n v="9"/>
    <x v="0"/>
    <x v="1"/>
  </r>
  <r>
    <s v="HH092"/>
    <x v="8"/>
    <n v="81548"/>
    <x v="2"/>
    <n v="8"/>
    <x v="0"/>
    <x v="1"/>
  </r>
  <r>
    <s v="HH093"/>
    <x v="24"/>
    <n v="115989"/>
    <x v="1"/>
    <n v="8"/>
    <x v="0"/>
    <x v="0"/>
  </r>
  <r>
    <s v="HH094"/>
    <x v="43"/>
    <n v="17104"/>
    <x v="0"/>
    <n v="7"/>
    <x v="0"/>
    <x v="1"/>
  </r>
  <r>
    <s v="HH095"/>
    <x v="44"/>
    <n v="23181"/>
    <x v="3"/>
    <n v="7"/>
    <x v="1"/>
    <x v="0"/>
  </r>
  <r>
    <s v="HH096"/>
    <x v="28"/>
    <n v="95680"/>
    <x v="3"/>
    <n v="7"/>
    <x v="1"/>
    <x v="1"/>
  </r>
  <r>
    <s v="HH097"/>
    <x v="45"/>
    <n v="31471"/>
    <x v="2"/>
    <n v="1"/>
    <x v="0"/>
    <x v="1"/>
  </r>
  <r>
    <s v="HH098"/>
    <x v="8"/>
    <n v="27987"/>
    <x v="0"/>
    <n v="1"/>
    <x v="0"/>
    <x v="0"/>
  </r>
  <r>
    <s v="HH099"/>
    <x v="20"/>
    <n v="15342"/>
    <x v="1"/>
    <n v="4"/>
    <x v="0"/>
    <x v="1"/>
  </r>
  <r>
    <s v="HH100"/>
    <x v="34"/>
    <n v="39986"/>
    <x v="1"/>
    <n v="8"/>
    <x v="1"/>
    <x v="1"/>
  </r>
  <r>
    <s v="HH101"/>
    <x v="9"/>
    <n v="40024"/>
    <x v="1"/>
    <n v="5"/>
    <x v="0"/>
    <x v="0"/>
  </r>
  <r>
    <s v="HH102"/>
    <x v="37"/>
    <n v="108384"/>
    <x v="2"/>
    <n v="4"/>
    <x v="0"/>
    <x v="0"/>
  </r>
  <r>
    <s v="HH103"/>
    <x v="39"/>
    <n v="89058"/>
    <x v="0"/>
    <n v="10"/>
    <x v="0"/>
    <x v="1"/>
  </r>
  <r>
    <s v="HH104"/>
    <x v="21"/>
    <n v="122296"/>
    <x v="3"/>
    <n v="2"/>
    <x v="1"/>
    <x v="0"/>
  </r>
  <r>
    <s v="HH105"/>
    <x v="27"/>
    <n v="138503"/>
    <x v="0"/>
    <n v="7"/>
    <x v="1"/>
    <x v="1"/>
  </r>
  <r>
    <s v="HH106"/>
    <x v="3"/>
    <n v="50105"/>
    <x v="2"/>
    <n v="3"/>
    <x v="1"/>
    <x v="1"/>
  </r>
  <r>
    <s v="HH107"/>
    <x v="28"/>
    <n v="124183"/>
    <x v="3"/>
    <n v="6"/>
    <x v="0"/>
    <x v="0"/>
  </r>
  <r>
    <s v="HH108"/>
    <x v="11"/>
    <n v="128175"/>
    <x v="1"/>
    <n v="8"/>
    <x v="1"/>
    <x v="1"/>
  </r>
  <r>
    <s v="HH109"/>
    <x v="2"/>
    <n v="139579"/>
    <x v="3"/>
    <n v="3"/>
    <x v="1"/>
    <x v="0"/>
  </r>
  <r>
    <s v="HH110"/>
    <x v="6"/>
    <n v="77725"/>
    <x v="3"/>
    <n v="5"/>
    <x v="1"/>
    <x v="0"/>
  </r>
  <r>
    <s v="HH111"/>
    <x v="23"/>
    <n v="60084"/>
    <x v="0"/>
    <n v="4"/>
    <x v="1"/>
    <x v="1"/>
  </r>
  <r>
    <s v="HH112"/>
    <x v="17"/>
    <n v="72999"/>
    <x v="2"/>
    <n v="8"/>
    <x v="1"/>
    <x v="0"/>
  </r>
  <r>
    <s v="HH113"/>
    <x v="16"/>
    <n v="87132"/>
    <x v="1"/>
    <n v="7"/>
    <x v="0"/>
    <x v="1"/>
  </r>
  <r>
    <s v="HH114"/>
    <x v="34"/>
    <n v="106736"/>
    <x v="2"/>
    <n v="9"/>
    <x v="1"/>
    <x v="1"/>
  </r>
  <r>
    <s v="HH115"/>
    <x v="35"/>
    <n v="96714"/>
    <x v="3"/>
    <n v="8"/>
    <x v="1"/>
    <x v="1"/>
  </r>
  <r>
    <s v="HH116"/>
    <x v="45"/>
    <n v="70434"/>
    <x v="0"/>
    <n v="4"/>
    <x v="1"/>
    <x v="0"/>
  </r>
  <r>
    <s v="HH117"/>
    <x v="35"/>
    <n v="58535"/>
    <x v="1"/>
    <n v="4"/>
    <x v="1"/>
    <x v="1"/>
  </r>
  <r>
    <s v="HH118"/>
    <x v="19"/>
    <n v="147530"/>
    <x v="3"/>
    <n v="2"/>
    <x v="0"/>
    <x v="1"/>
  </r>
  <r>
    <s v="HH119"/>
    <x v="8"/>
    <n v="104602"/>
    <x v="1"/>
    <n v="5"/>
    <x v="0"/>
    <x v="0"/>
  </r>
  <r>
    <s v="HH120"/>
    <x v="11"/>
    <n v="21931"/>
    <x v="0"/>
    <n v="9"/>
    <x v="1"/>
    <x v="0"/>
  </r>
  <r>
    <s v="HH121"/>
    <x v="0"/>
    <n v="138680"/>
    <x v="0"/>
    <n v="1"/>
    <x v="1"/>
    <x v="1"/>
  </r>
  <r>
    <s v="HH122"/>
    <x v="46"/>
    <n v="125466"/>
    <x v="3"/>
    <n v="3"/>
    <x v="0"/>
    <x v="1"/>
  </r>
  <r>
    <s v="HH123"/>
    <x v="46"/>
    <n v="39907"/>
    <x v="0"/>
    <n v="7"/>
    <x v="1"/>
    <x v="0"/>
  </r>
  <r>
    <s v="HH124"/>
    <x v="13"/>
    <n v="24053"/>
    <x v="1"/>
    <n v="3"/>
    <x v="1"/>
    <x v="0"/>
  </r>
  <r>
    <s v="HH125"/>
    <x v="22"/>
    <n v="41051"/>
    <x v="2"/>
    <n v="10"/>
    <x v="0"/>
    <x v="1"/>
  </r>
  <r>
    <s v="HH126"/>
    <x v="47"/>
    <n v="126056"/>
    <x v="3"/>
    <n v="10"/>
    <x v="1"/>
    <x v="1"/>
  </r>
  <r>
    <s v="HH127"/>
    <x v="13"/>
    <n v="25789"/>
    <x v="0"/>
    <n v="4"/>
    <x v="0"/>
    <x v="1"/>
  </r>
  <r>
    <s v="HH128"/>
    <x v="34"/>
    <n v="31282"/>
    <x v="1"/>
    <n v="4"/>
    <x v="0"/>
    <x v="0"/>
  </r>
  <r>
    <s v="HH129"/>
    <x v="9"/>
    <n v="10701"/>
    <x v="2"/>
    <n v="8"/>
    <x v="1"/>
    <x v="1"/>
  </r>
  <r>
    <s v="HH130"/>
    <x v="48"/>
    <n v="70680"/>
    <x v="3"/>
    <n v="5"/>
    <x v="1"/>
    <x v="0"/>
  </r>
  <r>
    <s v="HH131"/>
    <x v="49"/>
    <n v="71190"/>
    <x v="3"/>
    <n v="10"/>
    <x v="0"/>
    <x v="1"/>
  </r>
  <r>
    <s v="HH132"/>
    <x v="18"/>
    <n v="68932"/>
    <x v="1"/>
    <n v="5"/>
    <x v="0"/>
    <x v="0"/>
  </r>
  <r>
    <s v="HH133"/>
    <x v="32"/>
    <n v="53495"/>
    <x v="3"/>
    <n v="10"/>
    <x v="1"/>
    <x v="1"/>
  </r>
  <r>
    <s v="HH134"/>
    <x v="18"/>
    <n v="132866"/>
    <x v="3"/>
    <n v="7"/>
    <x v="1"/>
    <x v="1"/>
  </r>
  <r>
    <s v="HH135"/>
    <x v="47"/>
    <n v="31087"/>
    <x v="0"/>
    <n v="7"/>
    <x v="1"/>
    <x v="1"/>
  </r>
  <r>
    <s v="HH136"/>
    <x v="2"/>
    <n v="33940"/>
    <x v="1"/>
    <n v="10"/>
    <x v="0"/>
    <x v="1"/>
  </r>
  <r>
    <s v="HH137"/>
    <x v="13"/>
    <n v="20546"/>
    <x v="1"/>
    <n v="8"/>
    <x v="1"/>
    <x v="1"/>
  </r>
  <r>
    <s v="HH138"/>
    <x v="44"/>
    <n v="124264"/>
    <x v="2"/>
    <n v="2"/>
    <x v="1"/>
    <x v="1"/>
  </r>
  <r>
    <s v="HH139"/>
    <x v="27"/>
    <n v="97374"/>
    <x v="3"/>
    <n v="2"/>
    <x v="0"/>
    <x v="1"/>
  </r>
  <r>
    <s v="HH140"/>
    <x v="27"/>
    <n v="139884"/>
    <x v="3"/>
    <n v="7"/>
    <x v="0"/>
    <x v="1"/>
  </r>
  <r>
    <s v="HH141"/>
    <x v="16"/>
    <n v="92448"/>
    <x v="3"/>
    <n v="6"/>
    <x v="0"/>
    <x v="1"/>
  </r>
  <r>
    <s v="HH142"/>
    <x v="33"/>
    <n v="10301"/>
    <x v="2"/>
    <n v="7"/>
    <x v="0"/>
    <x v="0"/>
  </r>
  <r>
    <s v="HH143"/>
    <x v="23"/>
    <n v="104838"/>
    <x v="2"/>
    <n v="8"/>
    <x v="0"/>
    <x v="0"/>
  </r>
  <r>
    <s v="HH144"/>
    <x v="11"/>
    <n v="44344"/>
    <x v="3"/>
    <n v="8"/>
    <x v="1"/>
    <x v="0"/>
  </r>
  <r>
    <s v="HH145"/>
    <x v="2"/>
    <n v="72730"/>
    <x v="1"/>
    <n v="5"/>
    <x v="0"/>
    <x v="1"/>
  </r>
  <r>
    <s v="HH146"/>
    <x v="16"/>
    <n v="68903"/>
    <x v="0"/>
    <n v="8"/>
    <x v="0"/>
    <x v="0"/>
  </r>
  <r>
    <s v="HH147"/>
    <x v="30"/>
    <n v="86509"/>
    <x v="3"/>
    <n v="7"/>
    <x v="1"/>
    <x v="1"/>
  </r>
  <r>
    <s v="HH148"/>
    <x v="22"/>
    <n v="129743"/>
    <x v="1"/>
    <n v="7"/>
    <x v="0"/>
    <x v="0"/>
  </r>
  <r>
    <s v="HH149"/>
    <x v="25"/>
    <n v="82416"/>
    <x v="2"/>
    <n v="6"/>
    <x v="1"/>
    <x v="0"/>
  </r>
  <r>
    <s v="HH150"/>
    <x v="50"/>
    <n v="88264"/>
    <x v="2"/>
    <n v="3"/>
    <x v="1"/>
    <x v="1"/>
  </r>
  <r>
    <s v="HH151"/>
    <x v="6"/>
    <n v="97147"/>
    <x v="2"/>
    <n v="8"/>
    <x v="1"/>
    <x v="0"/>
  </r>
  <r>
    <s v="HH152"/>
    <x v="42"/>
    <n v="72601"/>
    <x v="2"/>
    <n v="4"/>
    <x v="1"/>
    <x v="0"/>
  </r>
  <r>
    <s v="HH153"/>
    <x v="41"/>
    <n v="133987"/>
    <x v="2"/>
    <n v="7"/>
    <x v="0"/>
    <x v="1"/>
  </r>
  <r>
    <s v="HH154"/>
    <x v="48"/>
    <n v="43094"/>
    <x v="3"/>
    <n v="2"/>
    <x v="1"/>
    <x v="0"/>
  </r>
  <r>
    <s v="HH155"/>
    <x v="23"/>
    <n v="129780"/>
    <x v="0"/>
    <n v="3"/>
    <x v="1"/>
    <x v="0"/>
  </r>
  <r>
    <s v="HH156"/>
    <x v="25"/>
    <n v="133074"/>
    <x v="3"/>
    <n v="6"/>
    <x v="1"/>
    <x v="0"/>
  </r>
  <r>
    <s v="HH157"/>
    <x v="24"/>
    <n v="149885"/>
    <x v="2"/>
    <n v="6"/>
    <x v="1"/>
    <x v="0"/>
  </r>
  <r>
    <s v="HH158"/>
    <x v="40"/>
    <n v="27936"/>
    <x v="1"/>
    <n v="5"/>
    <x v="0"/>
    <x v="0"/>
  </r>
  <r>
    <s v="HH159"/>
    <x v="31"/>
    <n v="35806"/>
    <x v="0"/>
    <n v="8"/>
    <x v="0"/>
    <x v="1"/>
  </r>
  <r>
    <s v="HH160"/>
    <x v="2"/>
    <n v="22056"/>
    <x v="3"/>
    <n v="1"/>
    <x v="1"/>
    <x v="1"/>
  </r>
  <r>
    <s v="HH161"/>
    <x v="51"/>
    <n v="122901"/>
    <x v="1"/>
    <n v="4"/>
    <x v="1"/>
    <x v="0"/>
  </r>
  <r>
    <s v="HH162"/>
    <x v="9"/>
    <n v="55893"/>
    <x v="0"/>
    <n v="10"/>
    <x v="1"/>
    <x v="0"/>
  </r>
  <r>
    <s v="HH163"/>
    <x v="30"/>
    <n v="47517"/>
    <x v="1"/>
    <n v="8"/>
    <x v="1"/>
    <x v="1"/>
  </r>
  <r>
    <s v="HH164"/>
    <x v="45"/>
    <n v="12463"/>
    <x v="2"/>
    <n v="5"/>
    <x v="0"/>
    <x v="0"/>
  </r>
  <r>
    <s v="HH165"/>
    <x v="47"/>
    <n v="100587"/>
    <x v="3"/>
    <n v="7"/>
    <x v="1"/>
    <x v="1"/>
  </r>
  <r>
    <s v="HH166"/>
    <x v="37"/>
    <n v="62223"/>
    <x v="2"/>
    <n v="8"/>
    <x v="0"/>
    <x v="0"/>
  </r>
  <r>
    <s v="HH167"/>
    <x v="7"/>
    <n v="104098"/>
    <x v="3"/>
    <n v="5"/>
    <x v="0"/>
    <x v="1"/>
  </r>
  <r>
    <s v="HH168"/>
    <x v="11"/>
    <n v="12122"/>
    <x v="0"/>
    <n v="10"/>
    <x v="1"/>
    <x v="1"/>
  </r>
  <r>
    <s v="HH169"/>
    <x v="36"/>
    <n v="70324"/>
    <x v="3"/>
    <n v="4"/>
    <x v="0"/>
    <x v="1"/>
  </r>
  <r>
    <s v="HH170"/>
    <x v="49"/>
    <n v="45855"/>
    <x v="0"/>
    <n v="1"/>
    <x v="1"/>
    <x v="1"/>
  </r>
  <r>
    <s v="HH171"/>
    <x v="48"/>
    <n v="105646"/>
    <x v="1"/>
    <n v="2"/>
    <x v="1"/>
    <x v="1"/>
  </r>
  <r>
    <s v="HH172"/>
    <x v="35"/>
    <n v="118921"/>
    <x v="1"/>
    <n v="4"/>
    <x v="0"/>
    <x v="1"/>
  </r>
  <r>
    <s v="HH173"/>
    <x v="23"/>
    <n v="141542"/>
    <x v="3"/>
    <n v="3"/>
    <x v="1"/>
    <x v="1"/>
  </r>
  <r>
    <s v="HH174"/>
    <x v="12"/>
    <n v="87369"/>
    <x v="3"/>
    <n v="2"/>
    <x v="1"/>
    <x v="0"/>
  </r>
  <r>
    <s v="HH175"/>
    <x v="14"/>
    <n v="69143"/>
    <x v="2"/>
    <n v="9"/>
    <x v="1"/>
    <x v="0"/>
  </r>
  <r>
    <s v="HH176"/>
    <x v="38"/>
    <n v="113435"/>
    <x v="0"/>
    <n v="5"/>
    <x v="0"/>
    <x v="1"/>
  </r>
  <r>
    <s v="HH177"/>
    <x v="51"/>
    <n v="78724"/>
    <x v="2"/>
    <n v="6"/>
    <x v="0"/>
    <x v="0"/>
  </r>
  <r>
    <s v="HH178"/>
    <x v="46"/>
    <n v="16560"/>
    <x v="3"/>
    <n v="10"/>
    <x v="0"/>
    <x v="0"/>
  </r>
  <r>
    <s v="HH179"/>
    <x v="0"/>
    <n v="131704"/>
    <x v="3"/>
    <n v="7"/>
    <x v="0"/>
    <x v="0"/>
  </r>
  <r>
    <s v="HH180"/>
    <x v="48"/>
    <n v="19754"/>
    <x v="3"/>
    <n v="8"/>
    <x v="0"/>
    <x v="0"/>
  </r>
  <r>
    <s v="HH181"/>
    <x v="22"/>
    <n v="45563"/>
    <x v="2"/>
    <n v="8"/>
    <x v="1"/>
    <x v="1"/>
  </r>
  <r>
    <s v="HH182"/>
    <x v="15"/>
    <n v="50507"/>
    <x v="2"/>
    <n v="2"/>
    <x v="1"/>
    <x v="1"/>
  </r>
  <r>
    <s v="HH183"/>
    <x v="11"/>
    <n v="18576"/>
    <x v="3"/>
    <n v="4"/>
    <x v="1"/>
    <x v="1"/>
  </r>
  <r>
    <s v="HH184"/>
    <x v="22"/>
    <n v="105075"/>
    <x v="0"/>
    <n v="6"/>
    <x v="1"/>
    <x v="0"/>
  </r>
  <r>
    <s v="HH185"/>
    <x v="43"/>
    <n v="82320"/>
    <x v="1"/>
    <n v="2"/>
    <x v="1"/>
    <x v="0"/>
  </r>
  <r>
    <s v="HH186"/>
    <x v="34"/>
    <n v="65602"/>
    <x v="0"/>
    <n v="1"/>
    <x v="1"/>
    <x v="0"/>
  </r>
  <r>
    <s v="HH187"/>
    <x v="1"/>
    <n v="63793"/>
    <x v="0"/>
    <n v="9"/>
    <x v="0"/>
    <x v="0"/>
  </r>
  <r>
    <s v="HH188"/>
    <x v="52"/>
    <n v="71079"/>
    <x v="3"/>
    <n v="3"/>
    <x v="0"/>
    <x v="1"/>
  </r>
  <r>
    <s v="HH189"/>
    <x v="14"/>
    <n v="44076"/>
    <x v="3"/>
    <n v="3"/>
    <x v="0"/>
    <x v="0"/>
  </r>
  <r>
    <s v="HH190"/>
    <x v="1"/>
    <n v="13895"/>
    <x v="3"/>
    <n v="4"/>
    <x v="1"/>
    <x v="0"/>
  </r>
  <r>
    <s v="HH191"/>
    <x v="44"/>
    <n v="79564"/>
    <x v="0"/>
    <n v="3"/>
    <x v="1"/>
    <x v="0"/>
  </r>
  <r>
    <s v="HH192"/>
    <x v="35"/>
    <n v="26661"/>
    <x v="2"/>
    <n v="8"/>
    <x v="1"/>
    <x v="0"/>
  </r>
  <r>
    <s v="HH193"/>
    <x v="47"/>
    <n v="142078"/>
    <x v="1"/>
    <n v="10"/>
    <x v="0"/>
    <x v="1"/>
  </r>
  <r>
    <s v="HH194"/>
    <x v="28"/>
    <n v="18165"/>
    <x v="0"/>
    <n v="8"/>
    <x v="1"/>
    <x v="1"/>
  </r>
  <r>
    <s v="HH195"/>
    <x v="49"/>
    <n v="38301"/>
    <x v="2"/>
    <n v="8"/>
    <x v="0"/>
    <x v="0"/>
  </r>
  <r>
    <s v="HH196"/>
    <x v="41"/>
    <n v="48884"/>
    <x v="0"/>
    <n v="3"/>
    <x v="1"/>
    <x v="1"/>
  </r>
  <r>
    <s v="HH197"/>
    <x v="7"/>
    <n v="149082"/>
    <x v="3"/>
    <n v="8"/>
    <x v="1"/>
    <x v="0"/>
  </r>
  <r>
    <s v="HH198"/>
    <x v="38"/>
    <n v="39992"/>
    <x v="1"/>
    <n v="7"/>
    <x v="1"/>
    <x v="0"/>
  </r>
  <r>
    <s v="HH199"/>
    <x v="27"/>
    <n v="98848"/>
    <x v="2"/>
    <n v="7"/>
    <x v="1"/>
    <x v="0"/>
  </r>
  <r>
    <s v="HH200"/>
    <x v="41"/>
    <n v="121873"/>
    <x v="3"/>
    <n v="5"/>
    <x v="1"/>
    <x v="0"/>
  </r>
  <r>
    <m/>
    <x v="53"/>
    <m/>
    <x v="4"/>
    <m/>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HH001"/>
    <n v="62"/>
    <n v="39184"/>
    <x v="0"/>
    <n v="5"/>
    <s v="Yes"/>
    <s v="Urban"/>
  </r>
  <r>
    <s v="HH002"/>
    <n v="30"/>
    <n v="36868"/>
    <x v="0"/>
    <n v="10"/>
    <s v="No"/>
    <s v="Urban"/>
  </r>
  <r>
    <s v="HH003"/>
    <n v="23"/>
    <n v="34561"/>
    <x v="1"/>
    <n v="4"/>
    <s v="Yes"/>
    <s v="Urban"/>
  </r>
  <r>
    <s v="HH004"/>
    <n v="67"/>
    <n v="119974"/>
    <x v="1"/>
    <n v="8"/>
    <s v="No"/>
    <s v="Urban"/>
  </r>
  <r>
    <s v="HH005"/>
    <n v="70"/>
    <n v="51853"/>
    <x v="2"/>
    <n v="6"/>
    <s v="No"/>
    <s v="Urban"/>
  </r>
  <r>
    <s v="HH006"/>
    <n v="35"/>
    <n v="98236"/>
    <x v="0"/>
    <n v="2"/>
    <s v="No"/>
    <s v="Urban"/>
  </r>
  <r>
    <s v="HH007"/>
    <n v="44"/>
    <n v="100165"/>
    <x v="3"/>
    <n v="1"/>
    <s v="No"/>
    <s v="Urban"/>
  </r>
  <r>
    <s v="HH008"/>
    <n v="46"/>
    <n v="30656"/>
    <x v="3"/>
    <n v="10"/>
    <s v="No"/>
    <s v="Urban"/>
  </r>
  <r>
    <s v="HH009"/>
    <n v="67"/>
    <n v="28233"/>
    <x v="0"/>
    <n v="4"/>
    <s v="No"/>
    <s v="Urban"/>
  </r>
  <r>
    <s v="HH010"/>
    <n v="36"/>
    <n v="36476"/>
    <x v="2"/>
    <n v="5"/>
    <s v="No"/>
    <s v="Rural"/>
  </r>
  <r>
    <s v="HH011"/>
    <n v="32"/>
    <n v="107040"/>
    <x v="3"/>
    <n v="4"/>
    <s v="No"/>
    <s v="Urban"/>
  </r>
  <r>
    <s v="HH012"/>
    <n v="60"/>
    <n v="54862"/>
    <x v="1"/>
    <n v="3"/>
    <s v="No"/>
    <s v="Rural"/>
  </r>
  <r>
    <s v="HH013"/>
    <n v="39"/>
    <n v="67570"/>
    <x v="3"/>
    <n v="1"/>
    <s v="Yes"/>
    <s v="Urban"/>
  </r>
  <r>
    <s v="HH014"/>
    <n v="73"/>
    <n v="92694"/>
    <x v="2"/>
    <n v="5"/>
    <s v="Yes"/>
    <s v="Urban"/>
  </r>
  <r>
    <s v="HH015"/>
    <n v="58"/>
    <n v="92490"/>
    <x v="1"/>
    <n v="8"/>
    <s v="No"/>
    <s v="Rural"/>
  </r>
  <r>
    <s v="HH016"/>
    <n v="31"/>
    <n v="79436"/>
    <x v="1"/>
    <n v="4"/>
    <s v="No"/>
    <s v="Rural"/>
  </r>
  <r>
    <s v="HH017"/>
    <n v="59"/>
    <n v="114700"/>
    <x v="3"/>
    <n v="4"/>
    <s v="Yes"/>
    <s v="Rural"/>
  </r>
  <r>
    <s v="HH018"/>
    <n v="27"/>
    <n v="22351"/>
    <x v="0"/>
    <n v="3"/>
    <s v="Yes"/>
    <s v="Rural"/>
  </r>
  <r>
    <s v="HH019"/>
    <n v="60"/>
    <n v="26653"/>
    <x v="2"/>
    <n v="7"/>
    <s v="No"/>
    <s v="Rural"/>
  </r>
  <r>
    <s v="HH020"/>
    <n v="57"/>
    <n v="13009"/>
    <x v="0"/>
    <n v="9"/>
    <s v="No"/>
    <s v="Rural"/>
  </r>
  <r>
    <s v="HH021"/>
    <n v="29"/>
    <n v="86939"/>
    <x v="2"/>
    <n v="3"/>
    <s v="No"/>
    <s v="Urban"/>
  </r>
  <r>
    <s v="HH022"/>
    <n v="68"/>
    <n v="79045"/>
    <x v="1"/>
    <n v="9"/>
    <s v="Yes"/>
    <s v="Rural"/>
  </r>
  <r>
    <s v="HH023"/>
    <n v="75"/>
    <n v="143080"/>
    <x v="1"/>
    <n v="3"/>
    <s v="No"/>
    <s v="Urban"/>
  </r>
  <r>
    <s v="HH024"/>
    <n v="56"/>
    <n v="149029"/>
    <x v="0"/>
    <n v="10"/>
    <s v="No"/>
    <s v="Rural"/>
  </r>
  <r>
    <s v="HH025"/>
    <n v="23"/>
    <n v="39325"/>
    <x v="3"/>
    <n v="5"/>
    <s v="Yes"/>
    <s v="Urban"/>
  </r>
  <r>
    <s v="HH026"/>
    <n v="37"/>
    <n v="30645"/>
    <x v="0"/>
    <n v="8"/>
    <s v="Yes"/>
    <s v="Urban"/>
  </r>
  <r>
    <s v="HH027"/>
    <n v="30"/>
    <n v="134592"/>
    <x v="1"/>
    <n v="5"/>
    <s v="No"/>
    <s v="Urban"/>
  </r>
  <r>
    <s v="HH028"/>
    <n v="56"/>
    <n v="62730"/>
    <x v="3"/>
    <n v="7"/>
    <s v="No"/>
    <s v="Rural"/>
  </r>
  <r>
    <s v="HH029"/>
    <n v="55"/>
    <n v="128354"/>
    <x v="0"/>
    <n v="4"/>
    <s v="Yes"/>
    <s v="Urban"/>
  </r>
  <r>
    <s v="HH030"/>
    <n v="43"/>
    <n v="15514"/>
    <x v="1"/>
    <n v="10"/>
    <s v="Yes"/>
    <s v="Urban"/>
  </r>
  <r>
    <s v="HH031"/>
    <n v="26"/>
    <n v="25433"/>
    <x v="1"/>
    <n v="2"/>
    <s v="Yes"/>
    <s v="Rural"/>
  </r>
  <r>
    <s v="HH032"/>
    <n v="26"/>
    <n v="144782"/>
    <x v="1"/>
    <n v="5"/>
    <s v="No"/>
    <s v="Urban"/>
  </r>
  <r>
    <s v="HH033"/>
    <n v="56"/>
    <n v="44684"/>
    <x v="2"/>
    <n v="4"/>
    <s v="No"/>
    <s v="Rural"/>
  </r>
  <r>
    <s v="HH034"/>
    <n v="34"/>
    <n v="34726"/>
    <x v="0"/>
    <n v="7"/>
    <s v="No"/>
    <s v="Rural"/>
  </r>
  <r>
    <s v="HH035"/>
    <n v="48"/>
    <n v="132427"/>
    <x v="0"/>
    <n v="2"/>
    <s v="Yes"/>
    <s v="Rural"/>
  </r>
  <r>
    <s v="HH036"/>
    <n v="68"/>
    <n v="98946"/>
    <x v="0"/>
    <n v="4"/>
    <s v="Yes"/>
    <s v="Urban"/>
  </r>
  <r>
    <s v="HH037"/>
    <n v="56"/>
    <n v="127601"/>
    <x v="1"/>
    <n v="7"/>
    <s v="Yes"/>
    <s v="Rural"/>
  </r>
  <r>
    <s v="HH038"/>
    <n v="51"/>
    <n v="75485"/>
    <x v="0"/>
    <n v="8"/>
    <s v="Yes"/>
    <s v="Urban"/>
  </r>
  <r>
    <s v="HH039"/>
    <n v="63"/>
    <n v="13868"/>
    <x v="0"/>
    <n v="4"/>
    <s v="Yes"/>
    <s v="Rural"/>
  </r>
  <r>
    <s v="HH040"/>
    <n v="53"/>
    <n v="136185"/>
    <x v="1"/>
    <n v="7"/>
    <s v="Yes"/>
    <s v="Urban"/>
  </r>
  <r>
    <s v="HH041"/>
    <n v="46"/>
    <n v="10565"/>
    <x v="2"/>
    <n v="5"/>
    <s v="No"/>
    <s v="Rural"/>
  </r>
  <r>
    <s v="HH042"/>
    <n v="49"/>
    <n v="137577"/>
    <x v="1"/>
    <n v="4"/>
    <s v="No"/>
    <s v="Urban"/>
  </r>
  <r>
    <s v="HH043"/>
    <n v="25"/>
    <n v="25979"/>
    <x v="3"/>
    <n v="1"/>
    <s v="Yes"/>
    <s v="Rural"/>
  </r>
  <r>
    <s v="HH044"/>
    <n v="54"/>
    <n v="149231"/>
    <x v="1"/>
    <n v="1"/>
    <s v="Yes"/>
    <s v="Urban"/>
  </r>
  <r>
    <s v="HH045"/>
    <n v="26"/>
    <n v="27815"/>
    <x v="1"/>
    <n v="7"/>
    <s v="Yes"/>
    <s v="Urban"/>
  </r>
  <r>
    <s v="HH046"/>
    <n v="59"/>
    <n v="20418"/>
    <x v="0"/>
    <n v="7"/>
    <s v="No"/>
    <s v="Rural"/>
  </r>
  <r>
    <s v="HH047"/>
    <n v="35"/>
    <n v="92361"/>
    <x v="1"/>
    <n v="5"/>
    <s v="No"/>
    <s v="Urban"/>
  </r>
  <r>
    <s v="HH048"/>
    <n v="64"/>
    <n v="88642"/>
    <x v="2"/>
    <n v="6"/>
    <s v="Yes"/>
    <s v="Urban"/>
  </r>
  <r>
    <s v="HH049"/>
    <n v="51"/>
    <n v="36209"/>
    <x v="0"/>
    <n v="9"/>
    <s v="Yes"/>
    <s v="Rural"/>
  </r>
  <r>
    <s v="HH050"/>
    <n v="30"/>
    <n v="101490"/>
    <x v="0"/>
    <n v="4"/>
    <s v="No"/>
    <s v="Rural"/>
  </r>
  <r>
    <s v="HH051"/>
    <n v="32"/>
    <n v="124867"/>
    <x v="3"/>
    <n v="10"/>
    <s v="Yes"/>
    <s v="Rural"/>
  </r>
  <r>
    <s v="HH052"/>
    <n v="64"/>
    <n v="37154"/>
    <x v="1"/>
    <n v="5"/>
    <s v="Yes"/>
    <s v="Urban"/>
  </r>
  <r>
    <s v="HH053"/>
    <n v="69"/>
    <n v="50749"/>
    <x v="3"/>
    <n v="5"/>
    <s v="Yes"/>
    <s v="Rural"/>
  </r>
  <r>
    <s v="HH054"/>
    <n v="35"/>
    <n v="79201"/>
    <x v="2"/>
    <n v="5"/>
    <s v="Yes"/>
    <s v="Urban"/>
  </r>
  <r>
    <s v="HH055"/>
    <n v="62"/>
    <n v="121037"/>
    <x v="3"/>
    <n v="1"/>
    <s v="Yes"/>
    <s v="Rural"/>
  </r>
  <r>
    <s v="HH056"/>
    <n v="71"/>
    <n v="44293"/>
    <x v="3"/>
    <n v="3"/>
    <s v="No"/>
    <s v="Rural"/>
  </r>
  <r>
    <s v="HH057"/>
    <n v="57"/>
    <n v="12534"/>
    <x v="0"/>
    <n v="2"/>
    <s v="Yes"/>
    <s v="Urban"/>
  </r>
  <r>
    <s v="HH058"/>
    <n v="75"/>
    <n v="106787"/>
    <x v="1"/>
    <n v="7"/>
    <s v="Yes"/>
    <s v="Urban"/>
  </r>
  <r>
    <s v="HH059"/>
    <n v="41"/>
    <n v="105591"/>
    <x v="0"/>
    <n v="6"/>
    <s v="Yes"/>
    <s v="Urban"/>
  </r>
  <r>
    <s v="HH060"/>
    <n v="64"/>
    <n v="36946"/>
    <x v="3"/>
    <n v="9"/>
    <s v="No"/>
    <s v="Urban"/>
  </r>
  <r>
    <s v="HH061"/>
    <n v="37"/>
    <n v="52598"/>
    <x v="1"/>
    <n v="7"/>
    <s v="Yes"/>
    <s v="Urban"/>
  </r>
  <r>
    <s v="HH062"/>
    <n v="69"/>
    <n v="97080"/>
    <x v="2"/>
    <n v="4"/>
    <s v="No"/>
    <s v="Urban"/>
  </r>
  <r>
    <s v="HH063"/>
    <n v="72"/>
    <n v="38336"/>
    <x v="2"/>
    <n v="1"/>
    <s v="No"/>
    <s v="Urban"/>
  </r>
  <r>
    <s v="HH064"/>
    <n v="34"/>
    <n v="130665"/>
    <x v="3"/>
    <n v="5"/>
    <s v="Yes"/>
    <s v="Urban"/>
  </r>
  <r>
    <s v="HH065"/>
    <n v="23"/>
    <n v="60627"/>
    <x v="2"/>
    <n v="6"/>
    <s v="No"/>
    <s v="Urban"/>
  </r>
  <r>
    <s v="HH066"/>
    <n v="71"/>
    <n v="83170"/>
    <x v="3"/>
    <n v="9"/>
    <s v="No"/>
    <s v="Rural"/>
  </r>
  <r>
    <s v="HH067"/>
    <n v="23"/>
    <n v="40236"/>
    <x v="3"/>
    <n v="3"/>
    <s v="No"/>
    <s v="Urban"/>
  </r>
  <r>
    <s v="HH068"/>
    <n v="28"/>
    <n v="123918"/>
    <x v="3"/>
    <n v="6"/>
    <s v="No"/>
    <s v="Urban"/>
  </r>
  <r>
    <s v="HH069"/>
    <n v="46"/>
    <n v="59828"/>
    <x v="3"/>
    <n v="1"/>
    <s v="No"/>
    <s v="Urban"/>
  </r>
  <r>
    <s v="HH070"/>
    <n v="55"/>
    <n v="61651"/>
    <x v="3"/>
    <n v="7"/>
    <s v="Yes"/>
    <s v="Rural"/>
  </r>
  <r>
    <s v="HH071"/>
    <n v="61"/>
    <n v="92291"/>
    <x v="0"/>
    <n v="5"/>
    <s v="No"/>
    <s v="Rural"/>
  </r>
  <r>
    <s v="HH072"/>
    <n v="42"/>
    <n v="115486"/>
    <x v="3"/>
    <n v="9"/>
    <s v="Yes"/>
    <s v="Urban"/>
  </r>
  <r>
    <s v="HH073"/>
    <n v="48"/>
    <n v="109390"/>
    <x v="1"/>
    <n v="10"/>
    <s v="No"/>
    <s v="Rural"/>
  </r>
  <r>
    <s v="HH074"/>
    <n v="57"/>
    <n v="10106"/>
    <x v="3"/>
    <n v="5"/>
    <s v="Yes"/>
    <s v="Rural"/>
  </r>
  <r>
    <s v="HH075"/>
    <n v="72"/>
    <n v="94475"/>
    <x v="2"/>
    <n v="8"/>
    <s v="No"/>
    <s v="Urban"/>
  </r>
  <r>
    <s v="HH076"/>
    <n v="54"/>
    <n v="134042"/>
    <x v="1"/>
    <n v="2"/>
    <s v="No"/>
    <s v="Rural"/>
  </r>
  <r>
    <s v="HH077"/>
    <n v="27"/>
    <n v="71569"/>
    <x v="3"/>
    <n v="4"/>
    <s v="Yes"/>
    <s v="Urban"/>
  </r>
  <r>
    <s v="HH078"/>
    <n v="23"/>
    <n v="22114"/>
    <x v="1"/>
    <n v="8"/>
    <s v="Yes"/>
    <s v="Rural"/>
  </r>
  <r>
    <s v="HH079"/>
    <n v="48"/>
    <n v="60970"/>
    <x v="2"/>
    <n v="8"/>
    <s v="No"/>
    <s v="Urban"/>
  </r>
  <r>
    <s v="HH080"/>
    <n v="31"/>
    <n v="11453"/>
    <x v="0"/>
    <n v="7"/>
    <s v="Yes"/>
    <s v="Urban"/>
  </r>
  <r>
    <s v="HH081"/>
    <n v="73"/>
    <n v="145779"/>
    <x v="2"/>
    <n v="1"/>
    <s v="Yes"/>
    <s v="Urban"/>
  </r>
  <r>
    <s v="HH082"/>
    <n v="51"/>
    <n v="44954"/>
    <x v="2"/>
    <n v="9"/>
    <s v="No"/>
    <s v="Rural"/>
  </r>
  <r>
    <s v="HH083"/>
    <n v="61"/>
    <n v="142324"/>
    <x v="2"/>
    <n v="9"/>
    <s v="No"/>
    <s v="Urban"/>
  </r>
  <r>
    <s v="HH084"/>
    <n v="69"/>
    <n v="134433"/>
    <x v="2"/>
    <n v="5"/>
    <s v="Yes"/>
    <s v="Rural"/>
  </r>
  <r>
    <s v="HH085"/>
    <n v="71"/>
    <n v="146655"/>
    <x v="2"/>
    <n v="4"/>
    <s v="No"/>
    <s v="Rural"/>
  </r>
  <r>
    <s v="HH086"/>
    <n v="26"/>
    <n v="84901"/>
    <x v="1"/>
    <n v="5"/>
    <s v="No"/>
    <s v="Rural"/>
  </r>
  <r>
    <s v="HH087"/>
    <n v="56"/>
    <n v="31122"/>
    <x v="1"/>
    <n v="3"/>
    <s v="Yes"/>
    <s v="Rural"/>
  </r>
  <r>
    <s v="HH088"/>
    <n v="66"/>
    <n v="50056"/>
    <x v="1"/>
    <n v="2"/>
    <s v="No"/>
    <s v="Rural"/>
  </r>
  <r>
    <s v="HH089"/>
    <n v="43"/>
    <n v="132139"/>
    <x v="2"/>
    <n v="1"/>
    <s v="Yes"/>
    <s v="Rural"/>
  </r>
  <r>
    <s v="HH090"/>
    <n v="46"/>
    <n v="15120"/>
    <x v="2"/>
    <n v="8"/>
    <s v="Yes"/>
    <s v="Rural"/>
  </r>
  <r>
    <s v="HH091"/>
    <n v="41"/>
    <n v="112232"/>
    <x v="2"/>
    <n v="9"/>
    <s v="Yes"/>
    <s v="Rural"/>
  </r>
  <r>
    <s v="HH092"/>
    <n v="36"/>
    <n v="81548"/>
    <x v="2"/>
    <n v="8"/>
    <s v="Yes"/>
    <s v="Rural"/>
  </r>
  <r>
    <s v="HH093"/>
    <n v="43"/>
    <n v="115989"/>
    <x v="1"/>
    <n v="8"/>
    <s v="Yes"/>
    <s v="Urban"/>
  </r>
  <r>
    <s v="HH094"/>
    <n v="47"/>
    <n v="17104"/>
    <x v="0"/>
    <n v="7"/>
    <s v="Yes"/>
    <s v="Rural"/>
  </r>
  <r>
    <s v="HH095"/>
    <n v="33"/>
    <n v="23181"/>
    <x v="3"/>
    <n v="7"/>
    <s v="No"/>
    <s v="Urban"/>
  </r>
  <r>
    <s v="HH096"/>
    <n v="51"/>
    <n v="95680"/>
    <x v="3"/>
    <n v="7"/>
    <s v="No"/>
    <s v="Rural"/>
  </r>
  <r>
    <s v="HH097"/>
    <n v="38"/>
    <n v="31471"/>
    <x v="2"/>
    <n v="1"/>
    <s v="Yes"/>
    <s v="Rural"/>
  </r>
  <r>
    <s v="HH098"/>
    <n v="36"/>
    <n v="27987"/>
    <x v="0"/>
    <n v="1"/>
    <s v="Yes"/>
    <s v="Urban"/>
  </r>
  <r>
    <s v="HH099"/>
    <n v="75"/>
    <n v="15342"/>
    <x v="1"/>
    <n v="4"/>
    <s v="Yes"/>
    <s v="Rural"/>
  </r>
  <r>
    <s v="HH100"/>
    <n v="64"/>
    <n v="39986"/>
    <x v="1"/>
    <n v="8"/>
    <s v="No"/>
    <s v="Rural"/>
  </r>
  <r>
    <s v="HH101"/>
    <n v="32"/>
    <n v="40024"/>
    <x v="1"/>
    <n v="5"/>
    <s v="Yes"/>
    <s v="Urban"/>
  </r>
  <r>
    <s v="HH102"/>
    <n v="41"/>
    <n v="108384"/>
    <x v="2"/>
    <n v="4"/>
    <s v="Yes"/>
    <s v="Urban"/>
  </r>
  <r>
    <s v="HH103"/>
    <n v="28"/>
    <n v="89058"/>
    <x v="0"/>
    <n v="10"/>
    <s v="Yes"/>
    <s v="Rural"/>
  </r>
  <r>
    <s v="HH104"/>
    <n v="56"/>
    <n v="122296"/>
    <x v="3"/>
    <n v="2"/>
    <s v="No"/>
    <s v="Urban"/>
  </r>
  <r>
    <s v="HH105"/>
    <n v="48"/>
    <n v="138503"/>
    <x v="0"/>
    <n v="7"/>
    <s v="No"/>
    <s v="Rural"/>
  </r>
  <r>
    <s v="HH106"/>
    <n v="67"/>
    <n v="50105"/>
    <x v="2"/>
    <n v="3"/>
    <s v="No"/>
    <s v="Rural"/>
  </r>
  <r>
    <s v="HH107"/>
    <n v="51"/>
    <n v="124183"/>
    <x v="3"/>
    <n v="6"/>
    <s v="Yes"/>
    <s v="Urban"/>
  </r>
  <r>
    <s v="HH108"/>
    <n v="39"/>
    <n v="128175"/>
    <x v="1"/>
    <n v="8"/>
    <s v="No"/>
    <s v="Rural"/>
  </r>
  <r>
    <s v="HH109"/>
    <n v="23"/>
    <n v="139579"/>
    <x v="3"/>
    <n v="3"/>
    <s v="No"/>
    <s v="Urban"/>
  </r>
  <r>
    <s v="HH110"/>
    <n v="44"/>
    <n v="77725"/>
    <x v="3"/>
    <n v="5"/>
    <s v="No"/>
    <s v="Urban"/>
  </r>
  <r>
    <s v="HH111"/>
    <n v="55"/>
    <n v="60084"/>
    <x v="0"/>
    <n v="4"/>
    <s v="No"/>
    <s v="Rural"/>
  </r>
  <r>
    <s v="HH112"/>
    <n v="57"/>
    <n v="72999"/>
    <x v="2"/>
    <n v="8"/>
    <s v="No"/>
    <s v="Urban"/>
  </r>
  <r>
    <s v="HH113"/>
    <n v="27"/>
    <n v="87132"/>
    <x v="1"/>
    <n v="7"/>
    <s v="Yes"/>
    <s v="Rural"/>
  </r>
  <r>
    <s v="HH114"/>
    <n v="64"/>
    <n v="106736"/>
    <x v="2"/>
    <n v="9"/>
    <s v="No"/>
    <s v="Rural"/>
  </r>
  <r>
    <s v="HH115"/>
    <n v="69"/>
    <n v="96714"/>
    <x v="3"/>
    <n v="8"/>
    <s v="No"/>
    <s v="Rural"/>
  </r>
  <r>
    <s v="HH116"/>
    <n v="38"/>
    <n v="70434"/>
    <x v="0"/>
    <n v="4"/>
    <s v="No"/>
    <s v="Urban"/>
  </r>
  <r>
    <s v="HH117"/>
    <n v="69"/>
    <n v="58535"/>
    <x v="1"/>
    <n v="4"/>
    <s v="No"/>
    <s v="Rural"/>
  </r>
  <r>
    <s v="HH118"/>
    <n v="68"/>
    <n v="147530"/>
    <x v="3"/>
    <n v="2"/>
    <s v="Yes"/>
    <s v="Rural"/>
  </r>
  <r>
    <s v="HH119"/>
    <n v="36"/>
    <n v="104602"/>
    <x v="1"/>
    <n v="5"/>
    <s v="Yes"/>
    <s v="Urban"/>
  </r>
  <r>
    <s v="HH120"/>
    <n v="39"/>
    <n v="21931"/>
    <x v="0"/>
    <n v="9"/>
    <s v="No"/>
    <s v="Urban"/>
  </r>
  <r>
    <s v="HH121"/>
    <n v="62"/>
    <n v="138680"/>
    <x v="0"/>
    <n v="1"/>
    <s v="No"/>
    <s v="Rural"/>
  </r>
  <r>
    <s v="HH122"/>
    <n v="52"/>
    <n v="125466"/>
    <x v="3"/>
    <n v="3"/>
    <s v="Yes"/>
    <s v="Rural"/>
  </r>
  <r>
    <s v="HH123"/>
    <n v="52"/>
    <n v="39907"/>
    <x v="0"/>
    <n v="7"/>
    <s v="No"/>
    <s v="Urban"/>
  </r>
  <r>
    <s v="HH124"/>
    <n v="58"/>
    <n v="24053"/>
    <x v="1"/>
    <n v="3"/>
    <s v="No"/>
    <s v="Urban"/>
  </r>
  <r>
    <s v="HH125"/>
    <n v="37"/>
    <n v="41051"/>
    <x v="2"/>
    <n v="10"/>
    <s v="Yes"/>
    <s v="Rural"/>
  </r>
  <r>
    <s v="HH126"/>
    <n v="50"/>
    <n v="126056"/>
    <x v="3"/>
    <n v="10"/>
    <s v="No"/>
    <s v="Rural"/>
  </r>
  <r>
    <s v="HH127"/>
    <n v="58"/>
    <n v="25789"/>
    <x v="0"/>
    <n v="4"/>
    <s v="Yes"/>
    <s v="Rural"/>
  </r>
  <r>
    <s v="HH128"/>
    <n v="64"/>
    <n v="31282"/>
    <x v="1"/>
    <n v="4"/>
    <s v="Yes"/>
    <s v="Urban"/>
  </r>
  <r>
    <s v="HH129"/>
    <n v="32"/>
    <n v="10701"/>
    <x v="2"/>
    <n v="8"/>
    <s v="No"/>
    <s v="Rural"/>
  </r>
  <r>
    <s v="HH130"/>
    <n v="24"/>
    <n v="70680"/>
    <x v="3"/>
    <n v="5"/>
    <s v="No"/>
    <s v="Urban"/>
  </r>
  <r>
    <s v="HH131"/>
    <n v="65"/>
    <n v="71190"/>
    <x v="3"/>
    <n v="10"/>
    <s v="Yes"/>
    <s v="Rural"/>
  </r>
  <r>
    <s v="HH132"/>
    <n v="29"/>
    <n v="68932"/>
    <x v="1"/>
    <n v="5"/>
    <s v="Yes"/>
    <s v="Urban"/>
  </r>
  <r>
    <s v="HH133"/>
    <n v="25"/>
    <n v="53495"/>
    <x v="3"/>
    <n v="10"/>
    <s v="No"/>
    <s v="Rural"/>
  </r>
  <r>
    <s v="HH134"/>
    <n v="29"/>
    <n v="132866"/>
    <x v="3"/>
    <n v="7"/>
    <s v="No"/>
    <s v="Rural"/>
  </r>
  <r>
    <s v="HH135"/>
    <n v="50"/>
    <n v="31087"/>
    <x v="0"/>
    <n v="7"/>
    <s v="No"/>
    <s v="Rural"/>
  </r>
  <r>
    <s v="HH136"/>
    <n v="23"/>
    <n v="33940"/>
    <x v="1"/>
    <n v="10"/>
    <s v="Yes"/>
    <s v="Rural"/>
  </r>
  <r>
    <s v="HH137"/>
    <n v="58"/>
    <n v="20546"/>
    <x v="1"/>
    <n v="8"/>
    <s v="No"/>
    <s v="Rural"/>
  </r>
  <r>
    <s v="HH138"/>
    <n v="33"/>
    <n v="124264"/>
    <x v="2"/>
    <n v="2"/>
    <s v="No"/>
    <s v="Rural"/>
  </r>
  <r>
    <s v="HH139"/>
    <n v="48"/>
    <n v="97374"/>
    <x v="3"/>
    <n v="2"/>
    <s v="Yes"/>
    <s v="Rural"/>
  </r>
  <r>
    <s v="HH140"/>
    <n v="48"/>
    <n v="139884"/>
    <x v="3"/>
    <n v="7"/>
    <s v="Yes"/>
    <s v="Rural"/>
  </r>
  <r>
    <s v="HH141"/>
    <n v="27"/>
    <n v="92448"/>
    <x v="3"/>
    <n v="6"/>
    <s v="Yes"/>
    <s v="Rural"/>
  </r>
  <r>
    <s v="HH142"/>
    <n v="54"/>
    <n v="10301"/>
    <x v="2"/>
    <n v="7"/>
    <s v="Yes"/>
    <s v="Urban"/>
  </r>
  <r>
    <s v="HH143"/>
    <n v="55"/>
    <n v="104838"/>
    <x v="2"/>
    <n v="8"/>
    <s v="Yes"/>
    <s v="Urban"/>
  </r>
  <r>
    <s v="HH144"/>
    <n v="39"/>
    <n v="44344"/>
    <x v="3"/>
    <n v="8"/>
    <s v="No"/>
    <s v="Urban"/>
  </r>
  <r>
    <s v="HH145"/>
    <n v="23"/>
    <n v="72730"/>
    <x v="1"/>
    <n v="5"/>
    <s v="Yes"/>
    <s v="Rural"/>
  </r>
  <r>
    <s v="HH146"/>
    <n v="27"/>
    <n v="68903"/>
    <x v="0"/>
    <n v="8"/>
    <s v="Yes"/>
    <s v="Urban"/>
  </r>
  <r>
    <s v="HH147"/>
    <n v="53"/>
    <n v="86509"/>
    <x v="3"/>
    <n v="7"/>
    <s v="No"/>
    <s v="Rural"/>
  </r>
  <r>
    <s v="HH148"/>
    <n v="37"/>
    <n v="129743"/>
    <x v="1"/>
    <n v="7"/>
    <s v="Yes"/>
    <s v="Urban"/>
  </r>
  <r>
    <s v="HH149"/>
    <n v="26"/>
    <n v="82416"/>
    <x v="2"/>
    <n v="6"/>
    <s v="No"/>
    <s v="Urban"/>
  </r>
  <r>
    <s v="HH150"/>
    <n v="40"/>
    <n v="88264"/>
    <x v="2"/>
    <n v="3"/>
    <s v="No"/>
    <s v="Rural"/>
  </r>
  <r>
    <s v="HH151"/>
    <n v="44"/>
    <n v="97147"/>
    <x v="2"/>
    <n v="8"/>
    <s v="No"/>
    <s v="Urban"/>
  </r>
  <r>
    <s v="HH152"/>
    <n v="66"/>
    <n v="72601"/>
    <x v="2"/>
    <n v="4"/>
    <s v="No"/>
    <s v="Urban"/>
  </r>
  <r>
    <s v="HH153"/>
    <n v="42"/>
    <n v="133987"/>
    <x v="2"/>
    <n v="7"/>
    <s v="Yes"/>
    <s v="Rural"/>
  </r>
  <r>
    <s v="HH154"/>
    <n v="24"/>
    <n v="43094"/>
    <x v="3"/>
    <n v="2"/>
    <s v="No"/>
    <s v="Urban"/>
  </r>
  <r>
    <s v="HH155"/>
    <n v="55"/>
    <n v="129780"/>
    <x v="0"/>
    <n v="3"/>
    <s v="No"/>
    <s v="Urban"/>
  </r>
  <r>
    <s v="HH156"/>
    <n v="26"/>
    <n v="133074"/>
    <x v="3"/>
    <n v="6"/>
    <s v="No"/>
    <s v="Urban"/>
  </r>
  <r>
    <s v="HH157"/>
    <n v="43"/>
    <n v="149885"/>
    <x v="2"/>
    <n v="6"/>
    <s v="No"/>
    <s v="Urban"/>
  </r>
  <r>
    <s v="HH158"/>
    <n v="61"/>
    <n v="27936"/>
    <x v="1"/>
    <n v="5"/>
    <s v="Yes"/>
    <s v="Urban"/>
  </r>
  <r>
    <s v="HH159"/>
    <n v="49"/>
    <n v="35806"/>
    <x v="0"/>
    <n v="8"/>
    <s v="Yes"/>
    <s v="Rural"/>
  </r>
  <r>
    <s v="HH160"/>
    <n v="23"/>
    <n v="22056"/>
    <x v="3"/>
    <n v="1"/>
    <s v="No"/>
    <s v="Rural"/>
  </r>
  <r>
    <s v="HH161"/>
    <n v="45"/>
    <n v="122901"/>
    <x v="1"/>
    <n v="4"/>
    <s v="No"/>
    <s v="Urban"/>
  </r>
  <r>
    <s v="HH162"/>
    <n v="32"/>
    <n v="55893"/>
    <x v="0"/>
    <n v="10"/>
    <s v="No"/>
    <s v="Urban"/>
  </r>
  <r>
    <s v="HH163"/>
    <n v="53"/>
    <n v="47517"/>
    <x v="1"/>
    <n v="8"/>
    <s v="No"/>
    <s v="Rural"/>
  </r>
  <r>
    <s v="HH164"/>
    <n v="38"/>
    <n v="12463"/>
    <x v="2"/>
    <n v="5"/>
    <s v="Yes"/>
    <s v="Urban"/>
  </r>
  <r>
    <s v="HH165"/>
    <n v="50"/>
    <n v="100587"/>
    <x v="3"/>
    <n v="7"/>
    <s v="No"/>
    <s v="Rural"/>
  </r>
  <r>
    <s v="HH166"/>
    <n v="41"/>
    <n v="62223"/>
    <x v="2"/>
    <n v="8"/>
    <s v="Yes"/>
    <s v="Urban"/>
  </r>
  <r>
    <s v="HH167"/>
    <n v="46"/>
    <n v="104098"/>
    <x v="3"/>
    <n v="5"/>
    <s v="Yes"/>
    <s v="Rural"/>
  </r>
  <r>
    <s v="HH168"/>
    <n v="39"/>
    <n v="12122"/>
    <x v="0"/>
    <n v="10"/>
    <s v="No"/>
    <s v="Rural"/>
  </r>
  <r>
    <s v="HH169"/>
    <n v="71"/>
    <n v="70324"/>
    <x v="3"/>
    <n v="4"/>
    <s v="Yes"/>
    <s v="Rural"/>
  </r>
  <r>
    <s v="HH170"/>
    <n v="65"/>
    <n v="45855"/>
    <x v="0"/>
    <n v="1"/>
    <s v="No"/>
    <s v="Rural"/>
  </r>
  <r>
    <s v="HH171"/>
    <n v="24"/>
    <n v="105646"/>
    <x v="1"/>
    <n v="2"/>
    <s v="No"/>
    <s v="Rural"/>
  </r>
  <r>
    <s v="HH172"/>
    <n v="69"/>
    <n v="118921"/>
    <x v="1"/>
    <n v="4"/>
    <s v="Yes"/>
    <s v="Rural"/>
  </r>
  <r>
    <s v="HH173"/>
    <n v="55"/>
    <n v="141542"/>
    <x v="3"/>
    <n v="3"/>
    <s v="No"/>
    <s v="Rural"/>
  </r>
  <r>
    <s v="HH174"/>
    <n v="73"/>
    <n v="87369"/>
    <x v="3"/>
    <n v="2"/>
    <s v="No"/>
    <s v="Urban"/>
  </r>
  <r>
    <s v="HH175"/>
    <n v="31"/>
    <n v="69143"/>
    <x v="2"/>
    <n v="9"/>
    <s v="No"/>
    <s v="Urban"/>
  </r>
  <r>
    <s v="HH176"/>
    <n v="72"/>
    <n v="113435"/>
    <x v="0"/>
    <n v="5"/>
    <s v="Yes"/>
    <s v="Rural"/>
  </r>
  <r>
    <s v="HH177"/>
    <n v="45"/>
    <n v="78724"/>
    <x v="2"/>
    <n v="6"/>
    <s v="Yes"/>
    <s v="Urban"/>
  </r>
  <r>
    <s v="HH178"/>
    <n v="52"/>
    <n v="16560"/>
    <x v="3"/>
    <n v="10"/>
    <s v="Yes"/>
    <s v="Urban"/>
  </r>
  <r>
    <s v="HH179"/>
    <n v="62"/>
    <n v="131704"/>
    <x v="3"/>
    <n v="7"/>
    <s v="Yes"/>
    <s v="Urban"/>
  </r>
  <r>
    <s v="HH180"/>
    <n v="24"/>
    <n v="19754"/>
    <x v="3"/>
    <n v="8"/>
    <s v="Yes"/>
    <s v="Urban"/>
  </r>
  <r>
    <s v="HH181"/>
    <n v="37"/>
    <n v="45563"/>
    <x v="2"/>
    <n v="8"/>
    <s v="No"/>
    <s v="Rural"/>
  </r>
  <r>
    <s v="HH182"/>
    <n v="59"/>
    <n v="50507"/>
    <x v="2"/>
    <n v="2"/>
    <s v="No"/>
    <s v="Rural"/>
  </r>
  <r>
    <s v="HH183"/>
    <n v="39"/>
    <n v="18576"/>
    <x v="3"/>
    <n v="4"/>
    <s v="No"/>
    <s v="Rural"/>
  </r>
  <r>
    <s v="HH184"/>
    <n v="37"/>
    <n v="105075"/>
    <x v="0"/>
    <n v="6"/>
    <s v="No"/>
    <s v="Urban"/>
  </r>
  <r>
    <s v="HH185"/>
    <n v="47"/>
    <n v="82320"/>
    <x v="1"/>
    <n v="2"/>
    <s v="No"/>
    <s v="Urban"/>
  </r>
  <r>
    <s v="HH186"/>
    <n v="64"/>
    <n v="65602"/>
    <x v="0"/>
    <n v="1"/>
    <s v="No"/>
    <s v="Urban"/>
  </r>
  <r>
    <s v="HH187"/>
    <n v="30"/>
    <n v="63793"/>
    <x v="0"/>
    <n v="9"/>
    <s v="Yes"/>
    <s v="Urban"/>
  </r>
  <r>
    <s v="HH188"/>
    <n v="74"/>
    <n v="71079"/>
    <x v="3"/>
    <n v="3"/>
    <s v="Yes"/>
    <s v="Rural"/>
  </r>
  <r>
    <s v="HH189"/>
    <n v="31"/>
    <n v="44076"/>
    <x v="3"/>
    <n v="3"/>
    <s v="Yes"/>
    <s v="Urban"/>
  </r>
  <r>
    <s v="HH190"/>
    <n v="30"/>
    <n v="13895"/>
    <x v="3"/>
    <n v="4"/>
    <s v="No"/>
    <s v="Urban"/>
  </r>
  <r>
    <s v="HH191"/>
    <n v="33"/>
    <n v="79564"/>
    <x v="0"/>
    <n v="3"/>
    <s v="No"/>
    <s v="Urban"/>
  </r>
  <r>
    <s v="HH192"/>
    <n v="69"/>
    <n v="26661"/>
    <x v="2"/>
    <n v="8"/>
    <s v="No"/>
    <s v="Urban"/>
  </r>
  <r>
    <s v="HH193"/>
    <n v="50"/>
    <n v="142078"/>
    <x v="1"/>
    <n v="10"/>
    <s v="Yes"/>
    <s v="Rural"/>
  </r>
  <r>
    <s v="HH194"/>
    <n v="51"/>
    <n v="18165"/>
    <x v="0"/>
    <n v="8"/>
    <s v="No"/>
    <s v="Rural"/>
  </r>
  <r>
    <s v="HH195"/>
    <n v="65"/>
    <n v="38301"/>
    <x v="2"/>
    <n v="8"/>
    <s v="Yes"/>
    <s v="Urban"/>
  </r>
  <r>
    <s v="HH196"/>
    <n v="42"/>
    <n v="48884"/>
    <x v="0"/>
    <n v="3"/>
    <s v="No"/>
    <s v="Rural"/>
  </r>
  <r>
    <s v="HH197"/>
    <n v="46"/>
    <n v="149082"/>
    <x v="3"/>
    <n v="8"/>
    <s v="No"/>
    <s v="Urban"/>
  </r>
  <r>
    <s v="HH198"/>
    <n v="72"/>
    <n v="39992"/>
    <x v="1"/>
    <n v="7"/>
    <s v="No"/>
    <s v="Urban"/>
  </r>
  <r>
    <s v="HH199"/>
    <n v="48"/>
    <n v="98848"/>
    <x v="2"/>
    <n v="7"/>
    <s v="No"/>
    <s v="Urban"/>
  </r>
  <r>
    <s v="HH200"/>
    <n v="42"/>
    <n v="121873"/>
    <x v="3"/>
    <n v="5"/>
    <s v="No"/>
    <s v="Urb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483E5F-50A0-4676-9FB8-E8884CDA44CD}"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D10:E14" firstHeaderRow="1" firstDataRow="1" firstDataCol="1"/>
  <pivotFields count="7">
    <pivotField dataField="1" showAll="0"/>
    <pivotField showAll="0"/>
    <pivotField showAll="0"/>
    <pivotField showAll="0">
      <items count="6">
        <item x="3"/>
        <item x="2"/>
        <item x="0"/>
        <item x="1"/>
        <item x="4"/>
        <item t="default"/>
      </items>
    </pivotField>
    <pivotField showAll="0"/>
    <pivotField axis="axisRow" showAll="0">
      <items count="4">
        <item x="1"/>
        <item x="0"/>
        <item x="2"/>
        <item t="default"/>
      </items>
    </pivotField>
    <pivotField showAll="0">
      <items count="4">
        <item x="1"/>
        <item x="0"/>
        <item x="2"/>
        <item t="default"/>
      </items>
    </pivotField>
  </pivotFields>
  <rowFields count="1">
    <field x="5"/>
  </rowFields>
  <rowItems count="4">
    <i>
      <x/>
    </i>
    <i>
      <x v="1"/>
    </i>
    <i>
      <x v="2"/>
    </i>
    <i t="grand">
      <x/>
    </i>
  </rowItems>
  <colItems count="1">
    <i/>
  </colItems>
  <dataFields count="1">
    <dataField name="Count of Household_ID" fld="0" subtotal="count" baseField="0" baseItem="0"/>
  </dataFields>
  <formats count="6">
    <format dxfId="105">
      <pivotArea type="all" dataOnly="0" outline="0" fieldPosition="0"/>
    </format>
    <format dxfId="104">
      <pivotArea outline="0" collapsedLevelsAreSubtotals="1" fieldPosition="0"/>
    </format>
    <format dxfId="103">
      <pivotArea field="5" type="button" dataOnly="0" labelOnly="1" outline="0" axis="axisRow" fieldPosition="0"/>
    </format>
    <format dxfId="102">
      <pivotArea dataOnly="0" labelOnly="1" fieldPosition="0">
        <references count="1">
          <reference field="5" count="0"/>
        </references>
      </pivotArea>
    </format>
    <format dxfId="101">
      <pivotArea dataOnly="0" labelOnly="1" grandRow="1" outline="0" fieldPosition="0"/>
    </format>
    <format dxfId="100">
      <pivotArea dataOnly="0" labelOnly="1" outline="0" axis="axisValues"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CED999-9AAE-46FC-BD81-BED64BAACE3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D3:E7" firstHeaderRow="1" firstDataRow="1" firstDataCol="1"/>
  <pivotFields count="7">
    <pivotField dataField="1" showAll="0"/>
    <pivotField showAll="0"/>
    <pivotField showAll="0"/>
    <pivotField showAll="0">
      <items count="6">
        <item x="3"/>
        <item x="2"/>
        <item x="0"/>
        <item x="1"/>
        <item x="4"/>
        <item t="default"/>
      </items>
    </pivotField>
    <pivotField showAll="0"/>
    <pivotField showAll="0">
      <items count="4">
        <item x="1"/>
        <item x="0"/>
        <item x="2"/>
        <item t="default"/>
      </items>
    </pivotField>
    <pivotField axis="axisRow" showAll="0">
      <items count="4">
        <item x="1"/>
        <item x="0"/>
        <item x="2"/>
        <item t="default"/>
      </items>
    </pivotField>
  </pivotFields>
  <rowFields count="1">
    <field x="6"/>
  </rowFields>
  <rowItems count="4">
    <i>
      <x/>
    </i>
    <i>
      <x v="1"/>
    </i>
    <i>
      <x v="2"/>
    </i>
    <i t="grand">
      <x/>
    </i>
  </rowItems>
  <colItems count="1">
    <i/>
  </colItems>
  <dataFields count="1">
    <dataField name="Count of Household_ID" fld="0" subtotal="count" baseField="0" baseItem="0"/>
  </dataFields>
  <formats count="6">
    <format dxfId="111">
      <pivotArea type="all" dataOnly="0" outline="0" fieldPosition="0"/>
    </format>
    <format dxfId="110">
      <pivotArea outline="0" collapsedLevelsAreSubtotals="1" fieldPosition="0"/>
    </format>
    <format dxfId="109">
      <pivotArea field="6" type="button" dataOnly="0" labelOnly="1" outline="0" axis="axisRow" fieldPosition="0"/>
    </format>
    <format dxfId="108">
      <pivotArea dataOnly="0" labelOnly="1" fieldPosition="0">
        <references count="1">
          <reference field="6" count="0"/>
        </references>
      </pivotArea>
    </format>
    <format dxfId="107">
      <pivotArea dataOnly="0" labelOnly="1" grandRow="1" outline="0" fieldPosition="0"/>
    </format>
    <format dxfId="106">
      <pivotArea dataOnly="0" labelOnly="1" outline="0" axis="axisValues" fieldPosition="0"/>
    </format>
  </format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6" count="1" selected="0">
            <x v="0"/>
          </reference>
        </references>
      </pivotArea>
    </chartFormat>
    <chartFormat chart="8" format="7">
      <pivotArea type="data" outline="0" fieldPosition="0">
        <references count="2">
          <reference field="4294967294" count="1" selected="0">
            <x v="0"/>
          </reference>
          <reference field="6" count="1" selected="0">
            <x v="1"/>
          </reference>
        </references>
      </pivotArea>
    </chartFormat>
    <chartFormat chart="8" format="8">
      <pivotArea type="data" outline="0" fieldPosition="0">
        <references count="2">
          <reference field="4294967294" count="1" selected="0">
            <x v="0"/>
          </reference>
          <reference field="6"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18384E-6F71-4B57-BE4F-924DB2E89033}" name="PivotTable3" cacheId="1" applyNumberFormats="0" applyBorderFormats="0" applyFontFormats="0" applyPatternFormats="0" applyAlignmentFormats="0" applyWidthHeightFormats="1" dataCaption="Values" updatedVersion="6" minRefreshableVersion="3" useAutoFormatting="1" itemPrintTitles="1" createdVersion="6" indent="2" outline="1" outlineData="1" multipleFieldFilters="0" chartFormat="10">
  <location ref="A3:B8" firstHeaderRow="1" firstDataRow="1" firstDataCol="1"/>
  <pivotFields count="7">
    <pivotField showAll="0"/>
    <pivotField showAll="0"/>
    <pivotField dataField="1" showAll="0"/>
    <pivotField axis="axisRow" showAll="0">
      <items count="5">
        <item x="3"/>
        <item x="2"/>
        <item x="0"/>
        <item x="1"/>
        <item t="default"/>
      </items>
    </pivotField>
    <pivotField showAll="0"/>
    <pivotField showAll="0"/>
    <pivotField showAll="0"/>
  </pivotFields>
  <rowFields count="1">
    <field x="3"/>
  </rowFields>
  <rowItems count="5">
    <i>
      <x/>
    </i>
    <i>
      <x v="1"/>
    </i>
    <i>
      <x v="2"/>
    </i>
    <i>
      <x v="3"/>
    </i>
    <i t="grand">
      <x/>
    </i>
  </rowItems>
  <colItems count="1">
    <i/>
  </colItems>
  <dataFields count="1">
    <dataField name="Average of Household_Income" fld="2" subtotal="average" baseField="3" baseItem="0"/>
  </dataFields>
  <formats count="6">
    <format dxfId="117">
      <pivotArea type="all" dataOnly="0" outline="0" fieldPosition="0"/>
    </format>
    <format dxfId="116">
      <pivotArea outline="0" collapsedLevelsAreSubtotals="1" fieldPosition="0"/>
    </format>
    <format dxfId="115">
      <pivotArea field="3" type="button" dataOnly="0" labelOnly="1" outline="0" axis="axisRow" fieldPosition="0"/>
    </format>
    <format dxfId="114">
      <pivotArea dataOnly="0" labelOnly="1" fieldPosition="0">
        <references count="1">
          <reference field="3" count="0"/>
        </references>
      </pivotArea>
    </format>
    <format dxfId="113">
      <pivotArea dataOnly="0" labelOnly="1" grandRow="1" outline="0" fieldPosition="0"/>
    </format>
    <format dxfId="112">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E1E523-6306-435A-96EA-AF91971C9A65}"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H58" firstHeaderRow="1" firstDataRow="1" firstDataCol="1"/>
  <pivotFields count="7">
    <pivotField showAll="0"/>
    <pivotField axis="axisRow" showAll="0">
      <items count="55">
        <item x="2"/>
        <item x="48"/>
        <item x="32"/>
        <item x="25"/>
        <item x="16"/>
        <item x="39"/>
        <item x="18"/>
        <item x="1"/>
        <item x="14"/>
        <item x="9"/>
        <item x="44"/>
        <item x="26"/>
        <item x="5"/>
        <item x="8"/>
        <item x="22"/>
        <item x="45"/>
        <item x="11"/>
        <item x="50"/>
        <item x="37"/>
        <item x="41"/>
        <item x="24"/>
        <item x="6"/>
        <item x="51"/>
        <item x="7"/>
        <item x="43"/>
        <item x="27"/>
        <item x="31"/>
        <item x="47"/>
        <item x="28"/>
        <item x="46"/>
        <item x="30"/>
        <item x="33"/>
        <item x="23"/>
        <item x="21"/>
        <item x="17"/>
        <item x="13"/>
        <item x="15"/>
        <item x="10"/>
        <item x="40"/>
        <item x="0"/>
        <item x="29"/>
        <item x="34"/>
        <item x="49"/>
        <item x="42"/>
        <item x="3"/>
        <item x="19"/>
        <item x="35"/>
        <item x="4"/>
        <item x="36"/>
        <item x="38"/>
        <item x="12"/>
        <item x="52"/>
        <item x="20"/>
        <item x="53"/>
        <item t="default"/>
      </items>
    </pivotField>
    <pivotField dataField="1" showAll="0"/>
    <pivotField showAll="0">
      <items count="6">
        <item x="3"/>
        <item x="2"/>
        <item x="0"/>
        <item x="1"/>
        <item x="4"/>
        <item t="default"/>
      </items>
    </pivotField>
    <pivotField showAll="0"/>
    <pivotField showAll="0">
      <items count="4">
        <item x="1"/>
        <item x="0"/>
        <item x="2"/>
        <item t="default"/>
      </items>
    </pivotField>
    <pivotField showAll="0">
      <items count="4">
        <item x="1"/>
        <item x="0"/>
        <item x="2"/>
        <item t="default"/>
      </items>
    </pivotField>
  </pivotFields>
  <rowFields count="1">
    <field x="1"/>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dataFields count="1">
    <dataField name="Average of Household_Income" fld="2" subtotal="average" baseField="1" baseItem="0"/>
  </dataFields>
  <formats count="7">
    <format dxfId="124">
      <pivotArea type="all" dataOnly="0" outline="0" fieldPosition="0"/>
    </format>
    <format dxfId="123">
      <pivotArea outline="0" collapsedLevelsAreSubtotals="1" fieldPosition="0"/>
    </format>
    <format dxfId="122">
      <pivotArea field="1" type="button" dataOnly="0" labelOnly="1" outline="0" axis="axisRow" fieldPosition="0"/>
    </format>
    <format dxfId="121">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0">
      <pivotArea dataOnly="0" labelOnly="1" fieldPosition="0">
        <references count="1">
          <reference field="1" count="4">
            <x v="50"/>
            <x v="51"/>
            <x v="52"/>
            <x v="53"/>
          </reference>
        </references>
      </pivotArea>
    </format>
    <format dxfId="119">
      <pivotArea dataOnly="0" labelOnly="1" grandRow="1" outline="0" fieldPosition="0"/>
    </format>
    <format dxfId="118">
      <pivotArea dataOnly="0" labelOnly="1" outline="0" axis="axisValues"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56722C-2365-426A-BB28-A51CDD3F2F07}"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0:B16" firstHeaderRow="1" firstDataRow="1" firstDataCol="1"/>
  <pivotFields count="7">
    <pivotField showAll="0"/>
    <pivotField showAll="0"/>
    <pivotField showAll="0"/>
    <pivotField axis="axisRow" showAll="0">
      <items count="6">
        <item x="3"/>
        <item x="2"/>
        <item x="0"/>
        <item x="1"/>
        <item x="4"/>
        <item t="default"/>
      </items>
    </pivotField>
    <pivotField dataField="1" showAll="0"/>
    <pivotField showAll="0">
      <items count="4">
        <item x="1"/>
        <item x="0"/>
        <item x="2"/>
        <item t="default"/>
      </items>
    </pivotField>
    <pivotField showAll="0">
      <items count="4">
        <item x="1"/>
        <item x="0"/>
        <item x="2"/>
        <item t="default"/>
      </items>
    </pivotField>
  </pivotFields>
  <rowFields count="1">
    <field x="3"/>
  </rowFields>
  <rowItems count="6">
    <i>
      <x/>
    </i>
    <i>
      <x v="1"/>
    </i>
    <i>
      <x v="2"/>
    </i>
    <i>
      <x v="3"/>
    </i>
    <i>
      <x v="4"/>
    </i>
    <i t="grand">
      <x/>
    </i>
  </rowItems>
  <colItems count="1">
    <i/>
  </colItems>
  <dataFields count="1">
    <dataField name="Average of Family_Size" fld="4" subtotal="average" baseField="3" baseItem="0"/>
  </dataFields>
  <formats count="6">
    <format dxfId="130">
      <pivotArea type="all" dataOnly="0" outline="0" fieldPosition="0"/>
    </format>
    <format dxfId="129">
      <pivotArea outline="0" collapsedLevelsAreSubtotals="1" fieldPosition="0"/>
    </format>
    <format dxfId="128">
      <pivotArea field="3" type="button" dataOnly="0" labelOnly="1" outline="0" axis="axisRow" fieldPosition="0"/>
    </format>
    <format dxfId="127">
      <pivotArea dataOnly="0" labelOnly="1" fieldPosition="0">
        <references count="1">
          <reference field="3" count="0"/>
        </references>
      </pivotArea>
    </format>
    <format dxfId="126">
      <pivotArea dataOnly="0" labelOnly="1" grandRow="1" outline="0" fieldPosition="0"/>
    </format>
    <format dxfId="125">
      <pivotArea dataOnly="0" labelOnly="1" outline="0" axis="axisValues"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Rural1" xr10:uid="{B19218C0-E3D0-443F-832E-4E8DFD0A6BCF}" sourceName="Urban_Rural">
  <pivotTables>
    <pivotTable tabId="4" name="PivotTable5"/>
    <pivotTable tabId="4" name="PivotTable6"/>
    <pivotTable tabId="4" name="PivotTable7"/>
    <pivotTable tabId="4" name="PivotTable8"/>
  </pivotTables>
  <data>
    <tabular pivotCacheId="505148852">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1" xr10:uid="{7B6E0430-35E8-4355-A646-E65BBC552C7B}" sourceName="Education_Level">
  <pivotTables>
    <pivotTable tabId="4" name="PivotTable7"/>
    <pivotTable tabId="4" name="PivotTable5"/>
    <pivotTable tabId="4" name="PivotTable6"/>
    <pivotTable tabId="4" name="PivotTable8"/>
  </pivotTables>
  <data>
    <tabular pivotCacheId="505148852">
      <items count="5">
        <i x="3" s="1"/>
        <i x="2"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s_House" xr10:uid="{CFD0E345-64E9-4FFF-9763-6C3680B5DE0E}" sourceName="Owns_House">
  <pivotTables>
    <pivotTable tabId="4" name="PivotTable6"/>
    <pivotTable tabId="4" name="PivotTable5"/>
    <pivotTable tabId="4" name="PivotTable7"/>
    <pivotTable tabId="4" name="PivotTable8"/>
  </pivotTables>
  <data>
    <tabular pivotCacheId="505148852">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rban_Rural 1" xr10:uid="{B6F69701-048B-4054-8545-377E09E74247}" cache="Slicer_Urban_Rural1" caption="Urban_Rural" columnCount="2" style="SlicerStyleDark1" rowHeight="241300"/>
  <slicer name="Education_Level" xr10:uid="{A6698D60-C1FD-41C1-9602-76B5B42E088F}" cache="Slicer_Education_Level1" caption="Education_Level" style="SlicerStyleDark1" rowHeight="241300"/>
  <slicer name="Owns_House" xr10:uid="{1294FAB8-5BC4-4FBE-BF99-432810741F22}" cache="Slicer_Owns_House" caption="Owns_House" columnCount="2"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zoomScaleNormal="100" workbookViewId="0">
      <selection activeCell="I12" sqref="I12"/>
    </sheetView>
  </sheetViews>
  <sheetFormatPr defaultRowHeight="14.5" x14ac:dyDescent="0.35"/>
  <cols>
    <col min="1" max="1" width="17.1796875" style="1" customWidth="1"/>
    <col min="2" max="2" width="25.08984375" style="1" customWidth="1"/>
    <col min="3" max="3" width="18.453125" style="1" customWidth="1"/>
    <col min="4" max="4" width="16" style="1" customWidth="1"/>
    <col min="5" max="5" width="15.26953125" style="1" customWidth="1"/>
    <col min="6" max="6" width="16.1796875" style="1" customWidth="1"/>
    <col min="7" max="7" width="14.81640625" style="1" customWidth="1"/>
    <col min="8" max="16384" width="8.7265625" style="1"/>
  </cols>
  <sheetData>
    <row r="1" spans="1:7" x14ac:dyDescent="0.35">
      <c r="A1" s="4" t="s">
        <v>0</v>
      </c>
      <c r="B1" s="5" t="s">
        <v>1</v>
      </c>
      <c r="C1" s="5" t="s">
        <v>2</v>
      </c>
      <c r="D1" s="5" t="s">
        <v>3</v>
      </c>
      <c r="E1" s="5" t="s">
        <v>4</v>
      </c>
      <c r="F1" s="5" t="s">
        <v>5</v>
      </c>
      <c r="G1" s="6" t="s">
        <v>6</v>
      </c>
    </row>
    <row r="2" spans="1:7" x14ac:dyDescent="0.35">
      <c r="A2" s="7" t="s">
        <v>7</v>
      </c>
      <c r="B2" s="3">
        <v>62</v>
      </c>
      <c r="C2" s="3">
        <v>39184</v>
      </c>
      <c r="D2" s="3" t="s">
        <v>8</v>
      </c>
      <c r="E2" s="3">
        <v>5</v>
      </c>
      <c r="F2" s="3" t="s">
        <v>9</v>
      </c>
      <c r="G2" s="8" t="s">
        <v>10</v>
      </c>
    </row>
    <row r="3" spans="1:7" x14ac:dyDescent="0.35">
      <c r="A3" s="9" t="s">
        <v>11</v>
      </c>
      <c r="B3" s="2">
        <v>30</v>
      </c>
      <c r="C3" s="2">
        <v>36868</v>
      </c>
      <c r="D3" s="2" t="s">
        <v>8</v>
      </c>
      <c r="E3" s="2">
        <v>10</v>
      </c>
      <c r="F3" s="2" t="s">
        <v>12</v>
      </c>
      <c r="G3" s="10" t="s">
        <v>10</v>
      </c>
    </row>
    <row r="4" spans="1:7" x14ac:dyDescent="0.35">
      <c r="A4" s="7" t="s">
        <v>13</v>
      </c>
      <c r="B4" s="3">
        <v>23</v>
      </c>
      <c r="C4" s="3">
        <v>34561</v>
      </c>
      <c r="D4" s="3" t="s">
        <v>14</v>
      </c>
      <c r="E4" s="3">
        <v>4</v>
      </c>
      <c r="F4" s="3" t="s">
        <v>9</v>
      </c>
      <c r="G4" s="8" t="s">
        <v>10</v>
      </c>
    </row>
    <row r="5" spans="1:7" x14ac:dyDescent="0.35">
      <c r="A5" s="9" t="s">
        <v>15</v>
      </c>
      <c r="B5" s="2">
        <v>67</v>
      </c>
      <c r="C5" s="2">
        <v>119974</v>
      </c>
      <c r="D5" s="2" t="s">
        <v>14</v>
      </c>
      <c r="E5" s="2">
        <v>8</v>
      </c>
      <c r="F5" s="2" t="s">
        <v>12</v>
      </c>
      <c r="G5" s="10" t="s">
        <v>10</v>
      </c>
    </row>
    <row r="6" spans="1:7" x14ac:dyDescent="0.35">
      <c r="A6" s="7" t="s">
        <v>16</v>
      </c>
      <c r="B6" s="3">
        <v>70</v>
      </c>
      <c r="C6" s="3">
        <v>51853</v>
      </c>
      <c r="D6" s="3" t="s">
        <v>17</v>
      </c>
      <c r="E6" s="3">
        <v>6</v>
      </c>
      <c r="F6" s="3" t="s">
        <v>12</v>
      </c>
      <c r="G6" s="8" t="s">
        <v>10</v>
      </c>
    </row>
    <row r="7" spans="1:7" x14ac:dyDescent="0.35">
      <c r="A7" s="9" t="s">
        <v>18</v>
      </c>
      <c r="B7" s="2">
        <v>35</v>
      </c>
      <c r="C7" s="2">
        <v>98236</v>
      </c>
      <c r="D7" s="2" t="s">
        <v>8</v>
      </c>
      <c r="E7" s="2">
        <v>2</v>
      </c>
      <c r="F7" s="2" t="s">
        <v>12</v>
      </c>
      <c r="G7" s="10" t="s">
        <v>10</v>
      </c>
    </row>
    <row r="8" spans="1:7" x14ac:dyDescent="0.35">
      <c r="A8" s="7" t="s">
        <v>19</v>
      </c>
      <c r="B8" s="3">
        <v>44</v>
      </c>
      <c r="C8" s="3">
        <v>100165</v>
      </c>
      <c r="D8" s="3" t="s">
        <v>20</v>
      </c>
      <c r="E8" s="3">
        <v>1</v>
      </c>
      <c r="F8" s="3" t="s">
        <v>12</v>
      </c>
      <c r="G8" s="8" t="s">
        <v>10</v>
      </c>
    </row>
    <row r="9" spans="1:7" x14ac:dyDescent="0.35">
      <c r="A9" s="9" t="s">
        <v>21</v>
      </c>
      <c r="B9" s="2">
        <v>46</v>
      </c>
      <c r="C9" s="2">
        <v>30656</v>
      </c>
      <c r="D9" s="2" t="s">
        <v>20</v>
      </c>
      <c r="E9" s="2">
        <v>10</v>
      </c>
      <c r="F9" s="2" t="s">
        <v>12</v>
      </c>
      <c r="G9" s="10" t="s">
        <v>10</v>
      </c>
    </row>
    <row r="10" spans="1:7" x14ac:dyDescent="0.35">
      <c r="A10" s="7" t="s">
        <v>22</v>
      </c>
      <c r="B10" s="3">
        <v>67</v>
      </c>
      <c r="C10" s="3">
        <v>28233</v>
      </c>
      <c r="D10" s="3" t="s">
        <v>8</v>
      </c>
      <c r="E10" s="3">
        <v>4</v>
      </c>
      <c r="F10" s="3" t="s">
        <v>12</v>
      </c>
      <c r="G10" s="8" t="s">
        <v>10</v>
      </c>
    </row>
    <row r="11" spans="1:7" x14ac:dyDescent="0.35">
      <c r="A11" s="9" t="s">
        <v>23</v>
      </c>
      <c r="B11" s="2">
        <v>36</v>
      </c>
      <c r="C11" s="2">
        <v>36476</v>
      </c>
      <c r="D11" s="2" t="s">
        <v>17</v>
      </c>
      <c r="E11" s="2">
        <v>5</v>
      </c>
      <c r="F11" s="2" t="s">
        <v>12</v>
      </c>
      <c r="G11" s="10" t="s">
        <v>24</v>
      </c>
    </row>
    <row r="12" spans="1:7" x14ac:dyDescent="0.35">
      <c r="A12" s="7" t="s">
        <v>25</v>
      </c>
      <c r="B12" s="3">
        <v>32</v>
      </c>
      <c r="C12" s="3">
        <v>107040</v>
      </c>
      <c r="D12" s="3" t="s">
        <v>20</v>
      </c>
      <c r="E12" s="3">
        <v>4</v>
      </c>
      <c r="F12" s="3" t="s">
        <v>12</v>
      </c>
      <c r="G12" s="8" t="s">
        <v>10</v>
      </c>
    </row>
    <row r="13" spans="1:7" x14ac:dyDescent="0.35">
      <c r="A13" s="9" t="s">
        <v>26</v>
      </c>
      <c r="B13" s="2">
        <v>60</v>
      </c>
      <c r="C13" s="2">
        <v>54862</v>
      </c>
      <c r="D13" s="2" t="s">
        <v>14</v>
      </c>
      <c r="E13" s="2">
        <v>3</v>
      </c>
      <c r="F13" s="2" t="s">
        <v>12</v>
      </c>
      <c r="G13" s="10" t="s">
        <v>24</v>
      </c>
    </row>
    <row r="14" spans="1:7" x14ac:dyDescent="0.35">
      <c r="A14" s="7" t="s">
        <v>27</v>
      </c>
      <c r="B14" s="3">
        <v>39</v>
      </c>
      <c r="C14" s="3">
        <v>67570</v>
      </c>
      <c r="D14" s="3" t="s">
        <v>20</v>
      </c>
      <c r="E14" s="3">
        <v>1</v>
      </c>
      <c r="F14" s="3" t="s">
        <v>9</v>
      </c>
      <c r="G14" s="8" t="s">
        <v>10</v>
      </c>
    </row>
    <row r="15" spans="1:7" x14ac:dyDescent="0.35">
      <c r="A15" s="9" t="s">
        <v>28</v>
      </c>
      <c r="B15" s="2">
        <v>73</v>
      </c>
      <c r="C15" s="2">
        <v>92694</v>
      </c>
      <c r="D15" s="2" t="s">
        <v>17</v>
      </c>
      <c r="E15" s="2">
        <v>5</v>
      </c>
      <c r="F15" s="2" t="s">
        <v>9</v>
      </c>
      <c r="G15" s="10" t="s">
        <v>10</v>
      </c>
    </row>
    <row r="16" spans="1:7" x14ac:dyDescent="0.35">
      <c r="A16" s="7" t="s">
        <v>29</v>
      </c>
      <c r="B16" s="3">
        <v>58</v>
      </c>
      <c r="C16" s="3">
        <v>92490</v>
      </c>
      <c r="D16" s="3" t="s">
        <v>14</v>
      </c>
      <c r="E16" s="3">
        <v>8</v>
      </c>
      <c r="F16" s="3" t="s">
        <v>12</v>
      </c>
      <c r="G16" s="8" t="s">
        <v>24</v>
      </c>
    </row>
    <row r="17" spans="1:7" x14ac:dyDescent="0.35">
      <c r="A17" s="9" t="s">
        <v>30</v>
      </c>
      <c r="B17" s="2">
        <v>31</v>
      </c>
      <c r="C17" s="2">
        <v>79436</v>
      </c>
      <c r="D17" s="2" t="s">
        <v>14</v>
      </c>
      <c r="E17" s="2">
        <v>4</v>
      </c>
      <c r="F17" s="2" t="s">
        <v>12</v>
      </c>
      <c r="G17" s="10" t="s">
        <v>24</v>
      </c>
    </row>
    <row r="18" spans="1:7" x14ac:dyDescent="0.35">
      <c r="A18" s="7" t="s">
        <v>31</v>
      </c>
      <c r="B18" s="3">
        <v>59</v>
      </c>
      <c r="C18" s="3">
        <v>114700</v>
      </c>
      <c r="D18" s="3" t="s">
        <v>20</v>
      </c>
      <c r="E18" s="3">
        <v>4</v>
      </c>
      <c r="F18" s="3" t="s">
        <v>9</v>
      </c>
      <c r="G18" s="8" t="s">
        <v>24</v>
      </c>
    </row>
    <row r="19" spans="1:7" x14ac:dyDescent="0.35">
      <c r="A19" s="9" t="s">
        <v>32</v>
      </c>
      <c r="B19" s="2">
        <v>27</v>
      </c>
      <c r="C19" s="2">
        <v>22351</v>
      </c>
      <c r="D19" s="2" t="s">
        <v>8</v>
      </c>
      <c r="E19" s="2">
        <v>3</v>
      </c>
      <c r="F19" s="2" t="s">
        <v>9</v>
      </c>
      <c r="G19" s="10" t="s">
        <v>24</v>
      </c>
    </row>
    <row r="20" spans="1:7" x14ac:dyDescent="0.35">
      <c r="A20" s="7" t="s">
        <v>33</v>
      </c>
      <c r="B20" s="3">
        <v>60</v>
      </c>
      <c r="C20" s="3">
        <v>26653</v>
      </c>
      <c r="D20" s="3" t="s">
        <v>17</v>
      </c>
      <c r="E20" s="3">
        <v>7</v>
      </c>
      <c r="F20" s="3" t="s">
        <v>12</v>
      </c>
      <c r="G20" s="8" t="s">
        <v>24</v>
      </c>
    </row>
    <row r="21" spans="1:7" x14ac:dyDescent="0.35">
      <c r="A21" s="9" t="s">
        <v>34</v>
      </c>
      <c r="B21" s="2">
        <v>57</v>
      </c>
      <c r="C21" s="2">
        <v>13009</v>
      </c>
      <c r="D21" s="2" t="s">
        <v>8</v>
      </c>
      <c r="E21" s="2">
        <v>9</v>
      </c>
      <c r="F21" s="2" t="s">
        <v>12</v>
      </c>
      <c r="G21" s="10" t="s">
        <v>24</v>
      </c>
    </row>
    <row r="22" spans="1:7" x14ac:dyDescent="0.35">
      <c r="A22" s="7" t="s">
        <v>35</v>
      </c>
      <c r="B22" s="3">
        <v>29</v>
      </c>
      <c r="C22" s="3">
        <v>86939</v>
      </c>
      <c r="D22" s="3" t="s">
        <v>17</v>
      </c>
      <c r="E22" s="3">
        <v>3</v>
      </c>
      <c r="F22" s="3" t="s">
        <v>12</v>
      </c>
      <c r="G22" s="8" t="s">
        <v>10</v>
      </c>
    </row>
    <row r="23" spans="1:7" x14ac:dyDescent="0.35">
      <c r="A23" s="9" t="s">
        <v>36</v>
      </c>
      <c r="B23" s="2">
        <v>68</v>
      </c>
      <c r="C23" s="2">
        <v>79045</v>
      </c>
      <c r="D23" s="2" t="s">
        <v>14</v>
      </c>
      <c r="E23" s="2">
        <v>9</v>
      </c>
      <c r="F23" s="2" t="s">
        <v>9</v>
      </c>
      <c r="G23" s="10" t="s">
        <v>24</v>
      </c>
    </row>
    <row r="24" spans="1:7" x14ac:dyDescent="0.35">
      <c r="A24" s="7" t="s">
        <v>37</v>
      </c>
      <c r="B24" s="3">
        <v>75</v>
      </c>
      <c r="C24" s="3">
        <v>143080</v>
      </c>
      <c r="D24" s="3" t="s">
        <v>14</v>
      </c>
      <c r="E24" s="3">
        <v>3</v>
      </c>
      <c r="F24" s="3" t="s">
        <v>12</v>
      </c>
      <c r="G24" s="8" t="s">
        <v>10</v>
      </c>
    </row>
    <row r="25" spans="1:7" x14ac:dyDescent="0.35">
      <c r="A25" s="9" t="s">
        <v>38</v>
      </c>
      <c r="B25" s="2">
        <v>56</v>
      </c>
      <c r="C25" s="2">
        <v>149029</v>
      </c>
      <c r="D25" s="2" t="s">
        <v>8</v>
      </c>
      <c r="E25" s="2">
        <v>10</v>
      </c>
      <c r="F25" s="2" t="s">
        <v>12</v>
      </c>
      <c r="G25" s="10" t="s">
        <v>24</v>
      </c>
    </row>
    <row r="26" spans="1:7" x14ac:dyDescent="0.35">
      <c r="A26" s="7" t="s">
        <v>39</v>
      </c>
      <c r="B26" s="3">
        <v>23</v>
      </c>
      <c r="C26" s="3">
        <v>39325</v>
      </c>
      <c r="D26" s="3" t="s">
        <v>20</v>
      </c>
      <c r="E26" s="3">
        <v>5</v>
      </c>
      <c r="F26" s="3" t="s">
        <v>9</v>
      </c>
      <c r="G26" s="8" t="s">
        <v>10</v>
      </c>
    </row>
    <row r="27" spans="1:7" x14ac:dyDescent="0.35">
      <c r="A27" s="9" t="s">
        <v>40</v>
      </c>
      <c r="B27" s="2">
        <v>37</v>
      </c>
      <c r="C27" s="2">
        <v>30645</v>
      </c>
      <c r="D27" s="2" t="s">
        <v>8</v>
      </c>
      <c r="E27" s="2">
        <v>8</v>
      </c>
      <c r="F27" s="2" t="s">
        <v>9</v>
      </c>
      <c r="G27" s="10" t="s">
        <v>10</v>
      </c>
    </row>
    <row r="28" spans="1:7" x14ac:dyDescent="0.35">
      <c r="A28" s="7" t="s">
        <v>41</v>
      </c>
      <c r="B28" s="3">
        <v>30</v>
      </c>
      <c r="C28" s="3">
        <v>134592</v>
      </c>
      <c r="D28" s="3" t="s">
        <v>14</v>
      </c>
      <c r="E28" s="3">
        <v>5</v>
      </c>
      <c r="F28" s="3" t="s">
        <v>12</v>
      </c>
      <c r="G28" s="8" t="s">
        <v>10</v>
      </c>
    </row>
    <row r="29" spans="1:7" x14ac:dyDescent="0.35">
      <c r="A29" s="9" t="s">
        <v>42</v>
      </c>
      <c r="B29" s="2">
        <v>56</v>
      </c>
      <c r="C29" s="2">
        <v>62730</v>
      </c>
      <c r="D29" s="2" t="s">
        <v>20</v>
      </c>
      <c r="E29" s="2">
        <v>7</v>
      </c>
      <c r="F29" s="2" t="s">
        <v>12</v>
      </c>
      <c r="G29" s="10" t="s">
        <v>24</v>
      </c>
    </row>
    <row r="30" spans="1:7" x14ac:dyDescent="0.35">
      <c r="A30" s="7" t="s">
        <v>43</v>
      </c>
      <c r="B30" s="3">
        <v>55</v>
      </c>
      <c r="C30" s="3">
        <v>128354</v>
      </c>
      <c r="D30" s="3" t="s">
        <v>8</v>
      </c>
      <c r="E30" s="3">
        <v>4</v>
      </c>
      <c r="F30" s="3" t="s">
        <v>9</v>
      </c>
      <c r="G30" s="8" t="s">
        <v>10</v>
      </c>
    </row>
    <row r="31" spans="1:7" x14ac:dyDescent="0.35">
      <c r="A31" s="9" t="s">
        <v>44</v>
      </c>
      <c r="B31" s="2">
        <v>43</v>
      </c>
      <c r="C31" s="2">
        <v>15514</v>
      </c>
      <c r="D31" s="2" t="s">
        <v>14</v>
      </c>
      <c r="E31" s="2">
        <v>10</v>
      </c>
      <c r="F31" s="2" t="s">
        <v>9</v>
      </c>
      <c r="G31" s="10" t="s">
        <v>10</v>
      </c>
    </row>
    <row r="32" spans="1:7" x14ac:dyDescent="0.35">
      <c r="A32" s="7" t="s">
        <v>45</v>
      </c>
      <c r="B32" s="3">
        <v>26</v>
      </c>
      <c r="C32" s="3">
        <v>25433</v>
      </c>
      <c r="D32" s="3" t="s">
        <v>14</v>
      </c>
      <c r="E32" s="3">
        <v>2</v>
      </c>
      <c r="F32" s="3" t="s">
        <v>9</v>
      </c>
      <c r="G32" s="8" t="s">
        <v>24</v>
      </c>
    </row>
    <row r="33" spans="1:7" x14ac:dyDescent="0.35">
      <c r="A33" s="9" t="s">
        <v>46</v>
      </c>
      <c r="B33" s="2">
        <v>26</v>
      </c>
      <c r="C33" s="2">
        <v>144782</v>
      </c>
      <c r="D33" s="2" t="s">
        <v>14</v>
      </c>
      <c r="E33" s="2">
        <v>5</v>
      </c>
      <c r="F33" s="2" t="s">
        <v>12</v>
      </c>
      <c r="G33" s="10" t="s">
        <v>10</v>
      </c>
    </row>
    <row r="34" spans="1:7" x14ac:dyDescent="0.35">
      <c r="A34" s="7" t="s">
        <v>47</v>
      </c>
      <c r="B34" s="3">
        <v>56</v>
      </c>
      <c r="C34" s="3">
        <v>44684</v>
      </c>
      <c r="D34" s="3" t="s">
        <v>17</v>
      </c>
      <c r="E34" s="3">
        <v>4</v>
      </c>
      <c r="F34" s="3" t="s">
        <v>12</v>
      </c>
      <c r="G34" s="8" t="s">
        <v>24</v>
      </c>
    </row>
    <row r="35" spans="1:7" x14ac:dyDescent="0.35">
      <c r="A35" s="9" t="s">
        <v>48</v>
      </c>
      <c r="B35" s="2">
        <v>34</v>
      </c>
      <c r="C35" s="2">
        <v>34726</v>
      </c>
      <c r="D35" s="2" t="s">
        <v>8</v>
      </c>
      <c r="E35" s="2">
        <v>7</v>
      </c>
      <c r="F35" s="2" t="s">
        <v>12</v>
      </c>
      <c r="G35" s="10" t="s">
        <v>24</v>
      </c>
    </row>
    <row r="36" spans="1:7" x14ac:dyDescent="0.35">
      <c r="A36" s="7" t="s">
        <v>49</v>
      </c>
      <c r="B36" s="3">
        <v>48</v>
      </c>
      <c r="C36" s="3">
        <v>132427</v>
      </c>
      <c r="D36" s="3" t="s">
        <v>8</v>
      </c>
      <c r="E36" s="3">
        <v>2</v>
      </c>
      <c r="F36" s="3" t="s">
        <v>9</v>
      </c>
      <c r="G36" s="8" t="s">
        <v>24</v>
      </c>
    </row>
    <row r="37" spans="1:7" x14ac:dyDescent="0.35">
      <c r="A37" s="9" t="s">
        <v>50</v>
      </c>
      <c r="B37" s="2">
        <v>68</v>
      </c>
      <c r="C37" s="2">
        <v>98946</v>
      </c>
      <c r="D37" s="2" t="s">
        <v>8</v>
      </c>
      <c r="E37" s="2">
        <v>4</v>
      </c>
      <c r="F37" s="2" t="s">
        <v>9</v>
      </c>
      <c r="G37" s="10" t="s">
        <v>10</v>
      </c>
    </row>
    <row r="38" spans="1:7" x14ac:dyDescent="0.35">
      <c r="A38" s="7" t="s">
        <v>51</v>
      </c>
      <c r="B38" s="3">
        <v>56</v>
      </c>
      <c r="C38" s="3">
        <v>127601</v>
      </c>
      <c r="D38" s="3" t="s">
        <v>14</v>
      </c>
      <c r="E38" s="3">
        <v>7</v>
      </c>
      <c r="F38" s="3" t="s">
        <v>9</v>
      </c>
      <c r="G38" s="8" t="s">
        <v>24</v>
      </c>
    </row>
    <row r="39" spans="1:7" x14ac:dyDescent="0.35">
      <c r="A39" s="9" t="s">
        <v>52</v>
      </c>
      <c r="B39" s="2">
        <v>51</v>
      </c>
      <c r="C39" s="2">
        <v>75485</v>
      </c>
      <c r="D39" s="2" t="s">
        <v>8</v>
      </c>
      <c r="E39" s="2">
        <v>8</v>
      </c>
      <c r="F39" s="2" t="s">
        <v>9</v>
      </c>
      <c r="G39" s="10" t="s">
        <v>10</v>
      </c>
    </row>
    <row r="40" spans="1:7" x14ac:dyDescent="0.35">
      <c r="A40" s="7" t="s">
        <v>53</v>
      </c>
      <c r="B40" s="3">
        <v>63</v>
      </c>
      <c r="C40" s="3">
        <v>13868</v>
      </c>
      <c r="D40" s="3" t="s">
        <v>8</v>
      </c>
      <c r="E40" s="3">
        <v>4</v>
      </c>
      <c r="F40" s="3" t="s">
        <v>9</v>
      </c>
      <c r="G40" s="8" t="s">
        <v>24</v>
      </c>
    </row>
    <row r="41" spans="1:7" x14ac:dyDescent="0.35">
      <c r="A41" s="9" t="s">
        <v>54</v>
      </c>
      <c r="B41" s="2">
        <v>53</v>
      </c>
      <c r="C41" s="2">
        <v>136185</v>
      </c>
      <c r="D41" s="2" t="s">
        <v>14</v>
      </c>
      <c r="E41" s="2">
        <v>7</v>
      </c>
      <c r="F41" s="2" t="s">
        <v>9</v>
      </c>
      <c r="G41" s="10" t="s">
        <v>10</v>
      </c>
    </row>
    <row r="42" spans="1:7" x14ac:dyDescent="0.35">
      <c r="A42" s="7" t="s">
        <v>55</v>
      </c>
      <c r="B42" s="3">
        <v>46</v>
      </c>
      <c r="C42" s="3">
        <v>10565</v>
      </c>
      <c r="D42" s="3" t="s">
        <v>17</v>
      </c>
      <c r="E42" s="3">
        <v>5</v>
      </c>
      <c r="F42" s="3" t="s">
        <v>12</v>
      </c>
      <c r="G42" s="8" t="s">
        <v>24</v>
      </c>
    </row>
    <row r="43" spans="1:7" x14ac:dyDescent="0.35">
      <c r="A43" s="9" t="s">
        <v>56</v>
      </c>
      <c r="B43" s="2">
        <v>49</v>
      </c>
      <c r="C43" s="2">
        <v>137577</v>
      </c>
      <c r="D43" s="2" t="s">
        <v>14</v>
      </c>
      <c r="E43" s="2">
        <v>4</v>
      </c>
      <c r="F43" s="2" t="s">
        <v>12</v>
      </c>
      <c r="G43" s="10" t="s">
        <v>10</v>
      </c>
    </row>
    <row r="44" spans="1:7" x14ac:dyDescent="0.35">
      <c r="A44" s="7" t="s">
        <v>57</v>
      </c>
      <c r="B44" s="3">
        <v>25</v>
      </c>
      <c r="C44" s="3">
        <v>25979</v>
      </c>
      <c r="D44" s="3" t="s">
        <v>20</v>
      </c>
      <c r="E44" s="3">
        <v>1</v>
      </c>
      <c r="F44" s="3" t="s">
        <v>9</v>
      </c>
      <c r="G44" s="8" t="s">
        <v>24</v>
      </c>
    </row>
    <row r="45" spans="1:7" x14ac:dyDescent="0.35">
      <c r="A45" s="9" t="s">
        <v>58</v>
      </c>
      <c r="B45" s="2">
        <v>54</v>
      </c>
      <c r="C45" s="2">
        <v>149231</v>
      </c>
      <c r="D45" s="2" t="s">
        <v>14</v>
      </c>
      <c r="E45" s="2">
        <v>1</v>
      </c>
      <c r="F45" s="2" t="s">
        <v>9</v>
      </c>
      <c r="G45" s="10" t="s">
        <v>10</v>
      </c>
    </row>
    <row r="46" spans="1:7" x14ac:dyDescent="0.35">
      <c r="A46" s="7" t="s">
        <v>59</v>
      </c>
      <c r="B46" s="3">
        <v>26</v>
      </c>
      <c r="C46" s="3">
        <v>27815</v>
      </c>
      <c r="D46" s="3" t="s">
        <v>14</v>
      </c>
      <c r="E46" s="3">
        <v>7</v>
      </c>
      <c r="F46" s="3" t="s">
        <v>9</v>
      </c>
      <c r="G46" s="8" t="s">
        <v>10</v>
      </c>
    </row>
    <row r="47" spans="1:7" x14ac:dyDescent="0.35">
      <c r="A47" s="9" t="s">
        <v>60</v>
      </c>
      <c r="B47" s="2">
        <v>59</v>
      </c>
      <c r="C47" s="2">
        <v>20418</v>
      </c>
      <c r="D47" s="2" t="s">
        <v>8</v>
      </c>
      <c r="E47" s="2">
        <v>7</v>
      </c>
      <c r="F47" s="2" t="s">
        <v>12</v>
      </c>
      <c r="G47" s="10" t="s">
        <v>24</v>
      </c>
    </row>
    <row r="48" spans="1:7" x14ac:dyDescent="0.35">
      <c r="A48" s="7" t="s">
        <v>61</v>
      </c>
      <c r="B48" s="3">
        <v>35</v>
      </c>
      <c r="C48" s="3">
        <v>92361</v>
      </c>
      <c r="D48" s="3" t="s">
        <v>14</v>
      </c>
      <c r="E48" s="3">
        <v>5</v>
      </c>
      <c r="F48" s="3" t="s">
        <v>12</v>
      </c>
      <c r="G48" s="8" t="s">
        <v>10</v>
      </c>
    </row>
    <row r="49" spans="1:7" x14ac:dyDescent="0.35">
      <c r="A49" s="9" t="s">
        <v>62</v>
      </c>
      <c r="B49" s="2">
        <v>64</v>
      </c>
      <c r="C49" s="2">
        <v>88642</v>
      </c>
      <c r="D49" s="2" t="s">
        <v>17</v>
      </c>
      <c r="E49" s="2">
        <v>6</v>
      </c>
      <c r="F49" s="2" t="s">
        <v>9</v>
      </c>
      <c r="G49" s="10" t="s">
        <v>10</v>
      </c>
    </row>
    <row r="50" spans="1:7" x14ac:dyDescent="0.35">
      <c r="A50" s="7" t="s">
        <v>63</v>
      </c>
      <c r="B50" s="3">
        <v>51</v>
      </c>
      <c r="C50" s="3">
        <v>36209</v>
      </c>
      <c r="D50" s="3" t="s">
        <v>8</v>
      </c>
      <c r="E50" s="3">
        <v>9</v>
      </c>
      <c r="F50" s="3" t="s">
        <v>9</v>
      </c>
      <c r="G50" s="8" t="s">
        <v>24</v>
      </c>
    </row>
    <row r="51" spans="1:7" x14ac:dyDescent="0.35">
      <c r="A51" s="9" t="s">
        <v>64</v>
      </c>
      <c r="B51" s="2">
        <v>30</v>
      </c>
      <c r="C51" s="2">
        <v>101490</v>
      </c>
      <c r="D51" s="2" t="s">
        <v>8</v>
      </c>
      <c r="E51" s="2">
        <v>4</v>
      </c>
      <c r="F51" s="2" t="s">
        <v>12</v>
      </c>
      <c r="G51" s="10" t="s">
        <v>24</v>
      </c>
    </row>
    <row r="52" spans="1:7" x14ac:dyDescent="0.35">
      <c r="A52" s="7" t="s">
        <v>65</v>
      </c>
      <c r="B52" s="3">
        <v>32</v>
      </c>
      <c r="C52" s="3">
        <v>124867</v>
      </c>
      <c r="D52" s="3" t="s">
        <v>20</v>
      </c>
      <c r="E52" s="3">
        <v>10</v>
      </c>
      <c r="F52" s="3" t="s">
        <v>9</v>
      </c>
      <c r="G52" s="8" t="s">
        <v>24</v>
      </c>
    </row>
    <row r="53" spans="1:7" x14ac:dyDescent="0.35">
      <c r="A53" s="9" t="s">
        <v>66</v>
      </c>
      <c r="B53" s="2">
        <v>64</v>
      </c>
      <c r="C53" s="2">
        <v>37154</v>
      </c>
      <c r="D53" s="2" t="s">
        <v>14</v>
      </c>
      <c r="E53" s="2">
        <v>5</v>
      </c>
      <c r="F53" s="2" t="s">
        <v>9</v>
      </c>
      <c r="G53" s="10" t="s">
        <v>10</v>
      </c>
    </row>
    <row r="54" spans="1:7" x14ac:dyDescent="0.35">
      <c r="A54" s="7" t="s">
        <v>67</v>
      </c>
      <c r="B54" s="3">
        <v>69</v>
      </c>
      <c r="C54" s="3">
        <v>50749</v>
      </c>
      <c r="D54" s="3" t="s">
        <v>20</v>
      </c>
      <c r="E54" s="3">
        <v>5</v>
      </c>
      <c r="F54" s="3" t="s">
        <v>9</v>
      </c>
      <c r="G54" s="8" t="s">
        <v>24</v>
      </c>
    </row>
    <row r="55" spans="1:7" x14ac:dyDescent="0.35">
      <c r="A55" s="9" t="s">
        <v>68</v>
      </c>
      <c r="B55" s="2">
        <v>35</v>
      </c>
      <c r="C55" s="2">
        <v>79201</v>
      </c>
      <c r="D55" s="2" t="s">
        <v>17</v>
      </c>
      <c r="E55" s="2">
        <v>5</v>
      </c>
      <c r="F55" s="2" t="s">
        <v>9</v>
      </c>
      <c r="G55" s="10" t="s">
        <v>10</v>
      </c>
    </row>
    <row r="56" spans="1:7" x14ac:dyDescent="0.35">
      <c r="A56" s="7" t="s">
        <v>69</v>
      </c>
      <c r="B56" s="3">
        <v>62</v>
      </c>
      <c r="C56" s="3">
        <v>121037</v>
      </c>
      <c r="D56" s="3" t="s">
        <v>20</v>
      </c>
      <c r="E56" s="3">
        <v>1</v>
      </c>
      <c r="F56" s="3" t="s">
        <v>9</v>
      </c>
      <c r="G56" s="8" t="s">
        <v>24</v>
      </c>
    </row>
    <row r="57" spans="1:7" x14ac:dyDescent="0.35">
      <c r="A57" s="9" t="s">
        <v>70</v>
      </c>
      <c r="B57" s="2">
        <v>71</v>
      </c>
      <c r="C57" s="2">
        <v>44293</v>
      </c>
      <c r="D57" s="2" t="s">
        <v>20</v>
      </c>
      <c r="E57" s="2">
        <v>3</v>
      </c>
      <c r="F57" s="2" t="s">
        <v>12</v>
      </c>
      <c r="G57" s="10" t="s">
        <v>24</v>
      </c>
    </row>
    <row r="58" spans="1:7" x14ac:dyDescent="0.35">
      <c r="A58" s="7" t="s">
        <v>71</v>
      </c>
      <c r="B58" s="3">
        <v>57</v>
      </c>
      <c r="C58" s="3">
        <v>12534</v>
      </c>
      <c r="D58" s="3" t="s">
        <v>8</v>
      </c>
      <c r="E58" s="3">
        <v>2</v>
      </c>
      <c r="F58" s="3" t="s">
        <v>9</v>
      </c>
      <c r="G58" s="8" t="s">
        <v>10</v>
      </c>
    </row>
    <row r="59" spans="1:7" x14ac:dyDescent="0.35">
      <c r="A59" s="9" t="s">
        <v>72</v>
      </c>
      <c r="B59" s="2">
        <v>75</v>
      </c>
      <c r="C59" s="2">
        <v>106787</v>
      </c>
      <c r="D59" s="2" t="s">
        <v>14</v>
      </c>
      <c r="E59" s="2">
        <v>7</v>
      </c>
      <c r="F59" s="2" t="s">
        <v>9</v>
      </c>
      <c r="G59" s="10" t="s">
        <v>10</v>
      </c>
    </row>
    <row r="60" spans="1:7" x14ac:dyDescent="0.35">
      <c r="A60" s="7" t="s">
        <v>73</v>
      </c>
      <c r="B60" s="3">
        <v>41</v>
      </c>
      <c r="C60" s="3">
        <v>105591</v>
      </c>
      <c r="D60" s="3" t="s">
        <v>8</v>
      </c>
      <c r="E60" s="3">
        <v>6</v>
      </c>
      <c r="F60" s="3" t="s">
        <v>9</v>
      </c>
      <c r="G60" s="8" t="s">
        <v>10</v>
      </c>
    </row>
    <row r="61" spans="1:7" x14ac:dyDescent="0.35">
      <c r="A61" s="9" t="s">
        <v>74</v>
      </c>
      <c r="B61" s="2">
        <v>64</v>
      </c>
      <c r="C61" s="2">
        <v>36946</v>
      </c>
      <c r="D61" s="2" t="s">
        <v>20</v>
      </c>
      <c r="E61" s="2">
        <v>9</v>
      </c>
      <c r="F61" s="2" t="s">
        <v>12</v>
      </c>
      <c r="G61" s="10" t="s">
        <v>10</v>
      </c>
    </row>
    <row r="62" spans="1:7" x14ac:dyDescent="0.35">
      <c r="A62" s="7" t="s">
        <v>75</v>
      </c>
      <c r="B62" s="3">
        <v>37</v>
      </c>
      <c r="C62" s="3">
        <v>52598</v>
      </c>
      <c r="D62" s="3" t="s">
        <v>14</v>
      </c>
      <c r="E62" s="3">
        <v>7</v>
      </c>
      <c r="F62" s="3" t="s">
        <v>9</v>
      </c>
      <c r="G62" s="8" t="s">
        <v>10</v>
      </c>
    </row>
    <row r="63" spans="1:7" x14ac:dyDescent="0.35">
      <c r="A63" s="9" t="s">
        <v>76</v>
      </c>
      <c r="B63" s="2">
        <v>69</v>
      </c>
      <c r="C63" s="2">
        <v>97080</v>
      </c>
      <c r="D63" s="2" t="s">
        <v>17</v>
      </c>
      <c r="E63" s="2">
        <v>4</v>
      </c>
      <c r="F63" s="2" t="s">
        <v>12</v>
      </c>
      <c r="G63" s="10" t="s">
        <v>10</v>
      </c>
    </row>
    <row r="64" spans="1:7" x14ac:dyDescent="0.35">
      <c r="A64" s="7" t="s">
        <v>77</v>
      </c>
      <c r="B64" s="3">
        <v>72</v>
      </c>
      <c r="C64" s="3">
        <v>38336</v>
      </c>
      <c r="D64" s="3" t="s">
        <v>17</v>
      </c>
      <c r="E64" s="3">
        <v>1</v>
      </c>
      <c r="F64" s="3" t="s">
        <v>12</v>
      </c>
      <c r="G64" s="8" t="s">
        <v>10</v>
      </c>
    </row>
    <row r="65" spans="1:7" x14ac:dyDescent="0.35">
      <c r="A65" s="9" t="s">
        <v>78</v>
      </c>
      <c r="B65" s="2">
        <v>34</v>
      </c>
      <c r="C65" s="2">
        <v>130665</v>
      </c>
      <c r="D65" s="2" t="s">
        <v>20</v>
      </c>
      <c r="E65" s="2">
        <v>5</v>
      </c>
      <c r="F65" s="2" t="s">
        <v>9</v>
      </c>
      <c r="G65" s="10" t="s">
        <v>10</v>
      </c>
    </row>
    <row r="66" spans="1:7" x14ac:dyDescent="0.35">
      <c r="A66" s="7" t="s">
        <v>79</v>
      </c>
      <c r="B66" s="3">
        <v>23</v>
      </c>
      <c r="C66" s="3">
        <v>60627</v>
      </c>
      <c r="D66" s="3" t="s">
        <v>17</v>
      </c>
      <c r="E66" s="3">
        <v>6</v>
      </c>
      <c r="F66" s="3" t="s">
        <v>12</v>
      </c>
      <c r="G66" s="8" t="s">
        <v>10</v>
      </c>
    </row>
    <row r="67" spans="1:7" x14ac:dyDescent="0.35">
      <c r="A67" s="9" t="s">
        <v>80</v>
      </c>
      <c r="B67" s="2">
        <v>71</v>
      </c>
      <c r="C67" s="2">
        <v>83170</v>
      </c>
      <c r="D67" s="2" t="s">
        <v>20</v>
      </c>
      <c r="E67" s="2">
        <v>9</v>
      </c>
      <c r="F67" s="2" t="s">
        <v>12</v>
      </c>
      <c r="G67" s="10" t="s">
        <v>24</v>
      </c>
    </row>
    <row r="68" spans="1:7" x14ac:dyDescent="0.35">
      <c r="A68" s="7" t="s">
        <v>81</v>
      </c>
      <c r="B68" s="3">
        <v>23</v>
      </c>
      <c r="C68" s="3">
        <v>40236</v>
      </c>
      <c r="D68" s="3" t="s">
        <v>20</v>
      </c>
      <c r="E68" s="3">
        <v>3</v>
      </c>
      <c r="F68" s="3" t="s">
        <v>12</v>
      </c>
      <c r="G68" s="8" t="s">
        <v>10</v>
      </c>
    </row>
    <row r="69" spans="1:7" x14ac:dyDescent="0.35">
      <c r="A69" s="9" t="s">
        <v>82</v>
      </c>
      <c r="B69" s="2">
        <v>28</v>
      </c>
      <c r="C69" s="2">
        <v>123918</v>
      </c>
      <c r="D69" s="2" t="s">
        <v>20</v>
      </c>
      <c r="E69" s="2">
        <v>6</v>
      </c>
      <c r="F69" s="2" t="s">
        <v>12</v>
      </c>
      <c r="G69" s="10" t="s">
        <v>10</v>
      </c>
    </row>
    <row r="70" spans="1:7" x14ac:dyDescent="0.35">
      <c r="A70" s="7" t="s">
        <v>83</v>
      </c>
      <c r="B70" s="3">
        <v>46</v>
      </c>
      <c r="C70" s="3">
        <v>59828</v>
      </c>
      <c r="D70" s="3" t="s">
        <v>20</v>
      </c>
      <c r="E70" s="3">
        <v>1</v>
      </c>
      <c r="F70" s="3" t="s">
        <v>12</v>
      </c>
      <c r="G70" s="8" t="s">
        <v>10</v>
      </c>
    </row>
    <row r="71" spans="1:7" x14ac:dyDescent="0.35">
      <c r="A71" s="9" t="s">
        <v>84</v>
      </c>
      <c r="B71" s="2">
        <v>55</v>
      </c>
      <c r="C71" s="2">
        <v>61651</v>
      </c>
      <c r="D71" s="2" t="s">
        <v>20</v>
      </c>
      <c r="E71" s="2">
        <v>7</v>
      </c>
      <c r="F71" s="2" t="s">
        <v>9</v>
      </c>
      <c r="G71" s="10" t="s">
        <v>24</v>
      </c>
    </row>
    <row r="72" spans="1:7" x14ac:dyDescent="0.35">
      <c r="A72" s="7" t="s">
        <v>85</v>
      </c>
      <c r="B72" s="3">
        <v>61</v>
      </c>
      <c r="C72" s="3">
        <v>92291</v>
      </c>
      <c r="D72" s="3" t="s">
        <v>8</v>
      </c>
      <c r="E72" s="3">
        <v>5</v>
      </c>
      <c r="F72" s="3" t="s">
        <v>12</v>
      </c>
      <c r="G72" s="8" t="s">
        <v>24</v>
      </c>
    </row>
    <row r="73" spans="1:7" x14ac:dyDescent="0.35">
      <c r="A73" s="9" t="s">
        <v>86</v>
      </c>
      <c r="B73" s="2">
        <v>42</v>
      </c>
      <c r="C73" s="2">
        <v>115486</v>
      </c>
      <c r="D73" s="2" t="s">
        <v>20</v>
      </c>
      <c r="E73" s="2">
        <v>9</v>
      </c>
      <c r="F73" s="2" t="s">
        <v>9</v>
      </c>
      <c r="G73" s="10" t="s">
        <v>10</v>
      </c>
    </row>
    <row r="74" spans="1:7" x14ac:dyDescent="0.35">
      <c r="A74" s="7" t="s">
        <v>87</v>
      </c>
      <c r="B74" s="3">
        <v>48</v>
      </c>
      <c r="C74" s="3">
        <v>109390</v>
      </c>
      <c r="D74" s="3" t="s">
        <v>14</v>
      </c>
      <c r="E74" s="3">
        <v>10</v>
      </c>
      <c r="F74" s="3" t="s">
        <v>12</v>
      </c>
      <c r="G74" s="8" t="s">
        <v>24</v>
      </c>
    </row>
    <row r="75" spans="1:7" x14ac:dyDescent="0.35">
      <c r="A75" s="9" t="s">
        <v>88</v>
      </c>
      <c r="B75" s="2">
        <v>57</v>
      </c>
      <c r="C75" s="2">
        <v>10106</v>
      </c>
      <c r="D75" s="2" t="s">
        <v>20</v>
      </c>
      <c r="E75" s="2">
        <v>5</v>
      </c>
      <c r="F75" s="2" t="s">
        <v>9</v>
      </c>
      <c r="G75" s="10" t="s">
        <v>24</v>
      </c>
    </row>
    <row r="76" spans="1:7" x14ac:dyDescent="0.35">
      <c r="A76" s="7" t="s">
        <v>89</v>
      </c>
      <c r="B76" s="3">
        <v>72</v>
      </c>
      <c r="C76" s="3">
        <v>94475</v>
      </c>
      <c r="D76" s="3" t="s">
        <v>17</v>
      </c>
      <c r="E76" s="3">
        <v>8</v>
      </c>
      <c r="F76" s="3" t="s">
        <v>12</v>
      </c>
      <c r="G76" s="8" t="s">
        <v>10</v>
      </c>
    </row>
    <row r="77" spans="1:7" x14ac:dyDescent="0.35">
      <c r="A77" s="9" t="s">
        <v>90</v>
      </c>
      <c r="B77" s="2">
        <v>54</v>
      </c>
      <c r="C77" s="2">
        <v>134042</v>
      </c>
      <c r="D77" s="2" t="s">
        <v>14</v>
      </c>
      <c r="E77" s="2">
        <v>2</v>
      </c>
      <c r="F77" s="2" t="s">
        <v>12</v>
      </c>
      <c r="G77" s="10" t="s">
        <v>24</v>
      </c>
    </row>
    <row r="78" spans="1:7" x14ac:dyDescent="0.35">
      <c r="A78" s="7" t="s">
        <v>91</v>
      </c>
      <c r="B78" s="3">
        <v>27</v>
      </c>
      <c r="C78" s="3">
        <v>71569</v>
      </c>
      <c r="D78" s="3" t="s">
        <v>20</v>
      </c>
      <c r="E78" s="3">
        <v>4</v>
      </c>
      <c r="F78" s="3" t="s">
        <v>9</v>
      </c>
      <c r="G78" s="8" t="s">
        <v>10</v>
      </c>
    </row>
    <row r="79" spans="1:7" x14ac:dyDescent="0.35">
      <c r="A79" s="9" t="s">
        <v>92</v>
      </c>
      <c r="B79" s="2">
        <v>23</v>
      </c>
      <c r="C79" s="2">
        <v>22114</v>
      </c>
      <c r="D79" s="2" t="s">
        <v>14</v>
      </c>
      <c r="E79" s="2">
        <v>8</v>
      </c>
      <c r="F79" s="2" t="s">
        <v>9</v>
      </c>
      <c r="G79" s="10" t="s">
        <v>24</v>
      </c>
    </row>
    <row r="80" spans="1:7" x14ac:dyDescent="0.35">
      <c r="A80" s="7" t="s">
        <v>93</v>
      </c>
      <c r="B80" s="3">
        <v>48</v>
      </c>
      <c r="C80" s="3">
        <v>60970</v>
      </c>
      <c r="D80" s="3" t="s">
        <v>17</v>
      </c>
      <c r="E80" s="3">
        <v>8</v>
      </c>
      <c r="F80" s="3" t="s">
        <v>12</v>
      </c>
      <c r="G80" s="8" t="s">
        <v>10</v>
      </c>
    </row>
    <row r="81" spans="1:7" x14ac:dyDescent="0.35">
      <c r="A81" s="9" t="s">
        <v>94</v>
      </c>
      <c r="B81" s="2">
        <v>31</v>
      </c>
      <c r="C81" s="2">
        <v>11453</v>
      </c>
      <c r="D81" s="2" t="s">
        <v>8</v>
      </c>
      <c r="E81" s="2">
        <v>7</v>
      </c>
      <c r="F81" s="2" t="s">
        <v>9</v>
      </c>
      <c r="G81" s="10" t="s">
        <v>10</v>
      </c>
    </row>
    <row r="82" spans="1:7" x14ac:dyDescent="0.35">
      <c r="A82" s="7" t="s">
        <v>95</v>
      </c>
      <c r="B82" s="3">
        <v>73</v>
      </c>
      <c r="C82" s="3">
        <v>145779</v>
      </c>
      <c r="D82" s="3" t="s">
        <v>17</v>
      </c>
      <c r="E82" s="3">
        <v>1</v>
      </c>
      <c r="F82" s="3" t="s">
        <v>9</v>
      </c>
      <c r="G82" s="8" t="s">
        <v>10</v>
      </c>
    </row>
    <row r="83" spans="1:7" x14ac:dyDescent="0.35">
      <c r="A83" s="9" t="s">
        <v>96</v>
      </c>
      <c r="B83" s="2">
        <v>51</v>
      </c>
      <c r="C83" s="2">
        <v>44954</v>
      </c>
      <c r="D83" s="2" t="s">
        <v>17</v>
      </c>
      <c r="E83" s="2">
        <v>9</v>
      </c>
      <c r="F83" s="2" t="s">
        <v>12</v>
      </c>
      <c r="G83" s="10" t="s">
        <v>24</v>
      </c>
    </row>
    <row r="84" spans="1:7" x14ac:dyDescent="0.35">
      <c r="A84" s="7" t="s">
        <v>97</v>
      </c>
      <c r="B84" s="3">
        <v>61</v>
      </c>
      <c r="C84" s="3">
        <v>142324</v>
      </c>
      <c r="D84" s="3" t="s">
        <v>17</v>
      </c>
      <c r="E84" s="3">
        <v>9</v>
      </c>
      <c r="F84" s="3" t="s">
        <v>12</v>
      </c>
      <c r="G84" s="8" t="s">
        <v>10</v>
      </c>
    </row>
    <row r="85" spans="1:7" x14ac:dyDescent="0.35">
      <c r="A85" s="9" t="s">
        <v>98</v>
      </c>
      <c r="B85" s="2">
        <v>69</v>
      </c>
      <c r="C85" s="2">
        <v>134433</v>
      </c>
      <c r="D85" s="2" t="s">
        <v>17</v>
      </c>
      <c r="E85" s="2">
        <v>5</v>
      </c>
      <c r="F85" s="2" t="s">
        <v>9</v>
      </c>
      <c r="G85" s="10" t="s">
        <v>24</v>
      </c>
    </row>
    <row r="86" spans="1:7" x14ac:dyDescent="0.35">
      <c r="A86" s="7" t="s">
        <v>99</v>
      </c>
      <c r="B86" s="3">
        <v>71</v>
      </c>
      <c r="C86" s="3">
        <v>146655</v>
      </c>
      <c r="D86" s="3" t="s">
        <v>17</v>
      </c>
      <c r="E86" s="3">
        <v>4</v>
      </c>
      <c r="F86" s="3" t="s">
        <v>12</v>
      </c>
      <c r="G86" s="8" t="s">
        <v>24</v>
      </c>
    </row>
    <row r="87" spans="1:7" x14ac:dyDescent="0.35">
      <c r="A87" s="9" t="s">
        <v>100</v>
      </c>
      <c r="B87" s="2">
        <v>26</v>
      </c>
      <c r="C87" s="2">
        <v>84901</v>
      </c>
      <c r="D87" s="2" t="s">
        <v>14</v>
      </c>
      <c r="E87" s="2">
        <v>5</v>
      </c>
      <c r="F87" s="2" t="s">
        <v>12</v>
      </c>
      <c r="G87" s="10" t="s">
        <v>24</v>
      </c>
    </row>
    <row r="88" spans="1:7" x14ac:dyDescent="0.35">
      <c r="A88" s="7" t="s">
        <v>101</v>
      </c>
      <c r="B88" s="3">
        <v>56</v>
      </c>
      <c r="C88" s="3">
        <v>31122</v>
      </c>
      <c r="D88" s="3" t="s">
        <v>14</v>
      </c>
      <c r="E88" s="3">
        <v>3</v>
      </c>
      <c r="F88" s="3" t="s">
        <v>9</v>
      </c>
      <c r="G88" s="8" t="s">
        <v>24</v>
      </c>
    </row>
    <row r="89" spans="1:7" x14ac:dyDescent="0.35">
      <c r="A89" s="9" t="s">
        <v>102</v>
      </c>
      <c r="B89" s="2">
        <v>66</v>
      </c>
      <c r="C89" s="2">
        <v>50056</v>
      </c>
      <c r="D89" s="2" t="s">
        <v>14</v>
      </c>
      <c r="E89" s="2">
        <v>2</v>
      </c>
      <c r="F89" s="2" t="s">
        <v>12</v>
      </c>
      <c r="G89" s="10" t="s">
        <v>24</v>
      </c>
    </row>
    <row r="90" spans="1:7" x14ac:dyDescent="0.35">
      <c r="A90" s="7" t="s">
        <v>103</v>
      </c>
      <c r="B90" s="3">
        <v>43</v>
      </c>
      <c r="C90" s="3">
        <v>132139</v>
      </c>
      <c r="D90" s="3" t="s">
        <v>17</v>
      </c>
      <c r="E90" s="3">
        <v>1</v>
      </c>
      <c r="F90" s="3" t="s">
        <v>9</v>
      </c>
      <c r="G90" s="8" t="s">
        <v>24</v>
      </c>
    </row>
    <row r="91" spans="1:7" x14ac:dyDescent="0.35">
      <c r="A91" s="9" t="s">
        <v>104</v>
      </c>
      <c r="B91" s="2">
        <v>46</v>
      </c>
      <c r="C91" s="2">
        <v>15120</v>
      </c>
      <c r="D91" s="2" t="s">
        <v>17</v>
      </c>
      <c r="E91" s="2">
        <v>8</v>
      </c>
      <c r="F91" s="2" t="s">
        <v>9</v>
      </c>
      <c r="G91" s="10" t="s">
        <v>24</v>
      </c>
    </row>
    <row r="92" spans="1:7" x14ac:dyDescent="0.35">
      <c r="A92" s="7" t="s">
        <v>105</v>
      </c>
      <c r="B92" s="3">
        <v>41</v>
      </c>
      <c r="C92" s="3">
        <v>112232</v>
      </c>
      <c r="D92" s="3" t="s">
        <v>17</v>
      </c>
      <c r="E92" s="3">
        <v>9</v>
      </c>
      <c r="F92" s="3" t="s">
        <v>9</v>
      </c>
      <c r="G92" s="8" t="s">
        <v>24</v>
      </c>
    </row>
    <row r="93" spans="1:7" x14ac:dyDescent="0.35">
      <c r="A93" s="9" t="s">
        <v>106</v>
      </c>
      <c r="B93" s="2">
        <v>36</v>
      </c>
      <c r="C93" s="2">
        <v>81548</v>
      </c>
      <c r="D93" s="2" t="s">
        <v>17</v>
      </c>
      <c r="E93" s="2">
        <v>8</v>
      </c>
      <c r="F93" s="2" t="s">
        <v>9</v>
      </c>
      <c r="G93" s="10" t="s">
        <v>24</v>
      </c>
    </row>
    <row r="94" spans="1:7" x14ac:dyDescent="0.35">
      <c r="A94" s="7" t="s">
        <v>107</v>
      </c>
      <c r="B94" s="3">
        <v>43</v>
      </c>
      <c r="C94" s="3">
        <v>115989</v>
      </c>
      <c r="D94" s="3" t="s">
        <v>14</v>
      </c>
      <c r="E94" s="3">
        <v>8</v>
      </c>
      <c r="F94" s="3" t="s">
        <v>9</v>
      </c>
      <c r="G94" s="8" t="s">
        <v>10</v>
      </c>
    </row>
    <row r="95" spans="1:7" x14ac:dyDescent="0.35">
      <c r="A95" s="9" t="s">
        <v>108</v>
      </c>
      <c r="B95" s="2">
        <v>47</v>
      </c>
      <c r="C95" s="2">
        <v>17104</v>
      </c>
      <c r="D95" s="2" t="s">
        <v>8</v>
      </c>
      <c r="E95" s="2">
        <v>7</v>
      </c>
      <c r="F95" s="2" t="s">
        <v>9</v>
      </c>
      <c r="G95" s="10" t="s">
        <v>24</v>
      </c>
    </row>
    <row r="96" spans="1:7" x14ac:dyDescent="0.35">
      <c r="A96" s="7" t="s">
        <v>109</v>
      </c>
      <c r="B96" s="3">
        <v>33</v>
      </c>
      <c r="C96" s="3">
        <v>23181</v>
      </c>
      <c r="D96" s="3" t="s">
        <v>20</v>
      </c>
      <c r="E96" s="3">
        <v>7</v>
      </c>
      <c r="F96" s="3" t="s">
        <v>12</v>
      </c>
      <c r="G96" s="8" t="s">
        <v>10</v>
      </c>
    </row>
    <row r="97" spans="1:7" x14ac:dyDescent="0.35">
      <c r="A97" s="9" t="s">
        <v>110</v>
      </c>
      <c r="B97" s="2">
        <v>51</v>
      </c>
      <c r="C97" s="2">
        <v>95680</v>
      </c>
      <c r="D97" s="2" t="s">
        <v>20</v>
      </c>
      <c r="E97" s="2">
        <v>7</v>
      </c>
      <c r="F97" s="2" t="s">
        <v>12</v>
      </c>
      <c r="G97" s="10" t="s">
        <v>24</v>
      </c>
    </row>
    <row r="98" spans="1:7" x14ac:dyDescent="0.35">
      <c r="A98" s="7" t="s">
        <v>111</v>
      </c>
      <c r="B98" s="3">
        <v>38</v>
      </c>
      <c r="C98" s="3">
        <v>31471</v>
      </c>
      <c r="D98" s="3" t="s">
        <v>17</v>
      </c>
      <c r="E98" s="3">
        <v>1</v>
      </c>
      <c r="F98" s="3" t="s">
        <v>9</v>
      </c>
      <c r="G98" s="8" t="s">
        <v>24</v>
      </c>
    </row>
    <row r="99" spans="1:7" x14ac:dyDescent="0.35">
      <c r="A99" s="9" t="s">
        <v>112</v>
      </c>
      <c r="B99" s="2">
        <v>36</v>
      </c>
      <c r="C99" s="2">
        <v>27987</v>
      </c>
      <c r="D99" s="2" t="s">
        <v>8</v>
      </c>
      <c r="E99" s="2">
        <v>1</v>
      </c>
      <c r="F99" s="2" t="s">
        <v>9</v>
      </c>
      <c r="G99" s="10" t="s">
        <v>10</v>
      </c>
    </row>
    <row r="100" spans="1:7" x14ac:dyDescent="0.35">
      <c r="A100" s="7" t="s">
        <v>113</v>
      </c>
      <c r="B100" s="3">
        <v>75</v>
      </c>
      <c r="C100" s="3">
        <v>15342</v>
      </c>
      <c r="D100" s="3" t="s">
        <v>14</v>
      </c>
      <c r="E100" s="3">
        <v>4</v>
      </c>
      <c r="F100" s="3" t="s">
        <v>9</v>
      </c>
      <c r="G100" s="8" t="s">
        <v>24</v>
      </c>
    </row>
    <row r="101" spans="1:7" x14ac:dyDescent="0.35">
      <c r="A101" s="9" t="s">
        <v>114</v>
      </c>
      <c r="B101" s="2">
        <v>64</v>
      </c>
      <c r="C101" s="2">
        <v>39986</v>
      </c>
      <c r="D101" s="2" t="s">
        <v>14</v>
      </c>
      <c r="E101" s="2">
        <v>8</v>
      </c>
      <c r="F101" s="2" t="s">
        <v>12</v>
      </c>
      <c r="G101" s="10" t="s">
        <v>24</v>
      </c>
    </row>
    <row r="102" spans="1:7" x14ac:dyDescent="0.35">
      <c r="A102" s="7" t="s">
        <v>115</v>
      </c>
      <c r="B102" s="3">
        <v>32</v>
      </c>
      <c r="C102" s="3">
        <v>40024</v>
      </c>
      <c r="D102" s="3" t="s">
        <v>14</v>
      </c>
      <c r="E102" s="3">
        <v>5</v>
      </c>
      <c r="F102" s="3" t="s">
        <v>9</v>
      </c>
      <c r="G102" s="8" t="s">
        <v>10</v>
      </c>
    </row>
    <row r="103" spans="1:7" x14ac:dyDescent="0.35">
      <c r="A103" s="9" t="s">
        <v>116</v>
      </c>
      <c r="B103" s="2">
        <v>41</v>
      </c>
      <c r="C103" s="2">
        <v>108384</v>
      </c>
      <c r="D103" s="2" t="s">
        <v>17</v>
      </c>
      <c r="E103" s="2">
        <v>4</v>
      </c>
      <c r="F103" s="2" t="s">
        <v>9</v>
      </c>
      <c r="G103" s="10" t="s">
        <v>10</v>
      </c>
    </row>
    <row r="104" spans="1:7" x14ac:dyDescent="0.35">
      <c r="A104" s="7" t="s">
        <v>117</v>
      </c>
      <c r="B104" s="3">
        <v>28</v>
      </c>
      <c r="C104" s="3">
        <v>89058</v>
      </c>
      <c r="D104" s="3" t="s">
        <v>8</v>
      </c>
      <c r="E104" s="3">
        <v>10</v>
      </c>
      <c r="F104" s="3" t="s">
        <v>9</v>
      </c>
      <c r="G104" s="8" t="s">
        <v>24</v>
      </c>
    </row>
    <row r="105" spans="1:7" x14ac:dyDescent="0.35">
      <c r="A105" s="9" t="s">
        <v>118</v>
      </c>
      <c r="B105" s="2">
        <v>56</v>
      </c>
      <c r="C105" s="2">
        <v>122296</v>
      </c>
      <c r="D105" s="2" t="s">
        <v>20</v>
      </c>
      <c r="E105" s="2">
        <v>2</v>
      </c>
      <c r="F105" s="2" t="s">
        <v>12</v>
      </c>
      <c r="G105" s="10" t="s">
        <v>10</v>
      </c>
    </row>
    <row r="106" spans="1:7" x14ac:dyDescent="0.35">
      <c r="A106" s="7" t="s">
        <v>119</v>
      </c>
      <c r="B106" s="3">
        <v>48</v>
      </c>
      <c r="C106" s="3">
        <v>138503</v>
      </c>
      <c r="D106" s="3" t="s">
        <v>8</v>
      </c>
      <c r="E106" s="3">
        <v>7</v>
      </c>
      <c r="F106" s="3" t="s">
        <v>12</v>
      </c>
      <c r="G106" s="8" t="s">
        <v>24</v>
      </c>
    </row>
    <row r="107" spans="1:7" x14ac:dyDescent="0.35">
      <c r="A107" s="9" t="s">
        <v>120</v>
      </c>
      <c r="B107" s="2">
        <v>67</v>
      </c>
      <c r="C107" s="2">
        <v>50105</v>
      </c>
      <c r="D107" s="2" t="s">
        <v>17</v>
      </c>
      <c r="E107" s="2">
        <v>3</v>
      </c>
      <c r="F107" s="2" t="s">
        <v>12</v>
      </c>
      <c r="G107" s="10" t="s">
        <v>24</v>
      </c>
    </row>
    <row r="108" spans="1:7" x14ac:dyDescent="0.35">
      <c r="A108" s="7" t="s">
        <v>121</v>
      </c>
      <c r="B108" s="3">
        <v>51</v>
      </c>
      <c r="C108" s="3">
        <v>124183</v>
      </c>
      <c r="D108" s="3" t="s">
        <v>20</v>
      </c>
      <c r="E108" s="3">
        <v>6</v>
      </c>
      <c r="F108" s="3" t="s">
        <v>9</v>
      </c>
      <c r="G108" s="8" t="s">
        <v>10</v>
      </c>
    </row>
    <row r="109" spans="1:7" x14ac:dyDescent="0.35">
      <c r="A109" s="9" t="s">
        <v>122</v>
      </c>
      <c r="B109" s="2">
        <v>39</v>
      </c>
      <c r="C109" s="2">
        <v>128175</v>
      </c>
      <c r="D109" s="2" t="s">
        <v>14</v>
      </c>
      <c r="E109" s="2">
        <v>8</v>
      </c>
      <c r="F109" s="2" t="s">
        <v>12</v>
      </c>
      <c r="G109" s="10" t="s">
        <v>24</v>
      </c>
    </row>
    <row r="110" spans="1:7" x14ac:dyDescent="0.35">
      <c r="A110" s="7" t="s">
        <v>123</v>
      </c>
      <c r="B110" s="3">
        <v>23</v>
      </c>
      <c r="C110" s="3">
        <v>139579</v>
      </c>
      <c r="D110" s="3" t="s">
        <v>20</v>
      </c>
      <c r="E110" s="3">
        <v>3</v>
      </c>
      <c r="F110" s="3" t="s">
        <v>12</v>
      </c>
      <c r="G110" s="8" t="s">
        <v>10</v>
      </c>
    </row>
    <row r="111" spans="1:7" x14ac:dyDescent="0.35">
      <c r="A111" s="9" t="s">
        <v>124</v>
      </c>
      <c r="B111" s="2">
        <v>44</v>
      </c>
      <c r="C111" s="2">
        <v>77725</v>
      </c>
      <c r="D111" s="2" t="s">
        <v>20</v>
      </c>
      <c r="E111" s="2">
        <v>5</v>
      </c>
      <c r="F111" s="2" t="s">
        <v>12</v>
      </c>
      <c r="G111" s="10" t="s">
        <v>10</v>
      </c>
    </row>
    <row r="112" spans="1:7" x14ac:dyDescent="0.35">
      <c r="A112" s="7" t="s">
        <v>125</v>
      </c>
      <c r="B112" s="3">
        <v>55</v>
      </c>
      <c r="C112" s="3">
        <v>60084</v>
      </c>
      <c r="D112" s="3" t="s">
        <v>8</v>
      </c>
      <c r="E112" s="3">
        <v>4</v>
      </c>
      <c r="F112" s="3" t="s">
        <v>12</v>
      </c>
      <c r="G112" s="8" t="s">
        <v>24</v>
      </c>
    </row>
    <row r="113" spans="1:7" x14ac:dyDescent="0.35">
      <c r="A113" s="9" t="s">
        <v>126</v>
      </c>
      <c r="B113" s="2">
        <v>57</v>
      </c>
      <c r="C113" s="2">
        <v>72999</v>
      </c>
      <c r="D113" s="2" t="s">
        <v>17</v>
      </c>
      <c r="E113" s="2">
        <v>8</v>
      </c>
      <c r="F113" s="2" t="s">
        <v>12</v>
      </c>
      <c r="G113" s="10" t="s">
        <v>10</v>
      </c>
    </row>
    <row r="114" spans="1:7" x14ac:dyDescent="0.35">
      <c r="A114" s="7" t="s">
        <v>127</v>
      </c>
      <c r="B114" s="3">
        <v>27</v>
      </c>
      <c r="C114" s="3">
        <v>87132</v>
      </c>
      <c r="D114" s="3" t="s">
        <v>14</v>
      </c>
      <c r="E114" s="3">
        <v>7</v>
      </c>
      <c r="F114" s="3" t="s">
        <v>9</v>
      </c>
      <c r="G114" s="8" t="s">
        <v>24</v>
      </c>
    </row>
    <row r="115" spans="1:7" x14ac:dyDescent="0.35">
      <c r="A115" s="9" t="s">
        <v>128</v>
      </c>
      <c r="B115" s="2">
        <v>64</v>
      </c>
      <c r="C115" s="2">
        <v>106736</v>
      </c>
      <c r="D115" s="2" t="s">
        <v>17</v>
      </c>
      <c r="E115" s="2">
        <v>9</v>
      </c>
      <c r="F115" s="2" t="s">
        <v>12</v>
      </c>
      <c r="G115" s="10" t="s">
        <v>24</v>
      </c>
    </row>
    <row r="116" spans="1:7" x14ac:dyDescent="0.35">
      <c r="A116" s="7" t="s">
        <v>129</v>
      </c>
      <c r="B116" s="3">
        <v>69</v>
      </c>
      <c r="C116" s="3">
        <v>96714</v>
      </c>
      <c r="D116" s="3" t="s">
        <v>20</v>
      </c>
      <c r="E116" s="3">
        <v>8</v>
      </c>
      <c r="F116" s="3" t="s">
        <v>12</v>
      </c>
      <c r="G116" s="8" t="s">
        <v>24</v>
      </c>
    </row>
    <row r="117" spans="1:7" x14ac:dyDescent="0.35">
      <c r="A117" s="9" t="s">
        <v>130</v>
      </c>
      <c r="B117" s="2">
        <v>38</v>
      </c>
      <c r="C117" s="2">
        <v>70434</v>
      </c>
      <c r="D117" s="2" t="s">
        <v>8</v>
      </c>
      <c r="E117" s="2">
        <v>4</v>
      </c>
      <c r="F117" s="2" t="s">
        <v>12</v>
      </c>
      <c r="G117" s="10" t="s">
        <v>10</v>
      </c>
    </row>
    <row r="118" spans="1:7" x14ac:dyDescent="0.35">
      <c r="A118" s="7" t="s">
        <v>131</v>
      </c>
      <c r="B118" s="3">
        <v>69</v>
      </c>
      <c r="C118" s="3">
        <v>58535</v>
      </c>
      <c r="D118" s="3" t="s">
        <v>14</v>
      </c>
      <c r="E118" s="3">
        <v>4</v>
      </c>
      <c r="F118" s="3" t="s">
        <v>12</v>
      </c>
      <c r="G118" s="8" t="s">
        <v>24</v>
      </c>
    </row>
    <row r="119" spans="1:7" x14ac:dyDescent="0.35">
      <c r="A119" s="9" t="s">
        <v>132</v>
      </c>
      <c r="B119" s="2">
        <v>68</v>
      </c>
      <c r="C119" s="2">
        <v>147530</v>
      </c>
      <c r="D119" s="2" t="s">
        <v>20</v>
      </c>
      <c r="E119" s="2">
        <v>2</v>
      </c>
      <c r="F119" s="2" t="s">
        <v>9</v>
      </c>
      <c r="G119" s="10" t="s">
        <v>24</v>
      </c>
    </row>
    <row r="120" spans="1:7" x14ac:dyDescent="0.35">
      <c r="A120" s="7" t="s">
        <v>133</v>
      </c>
      <c r="B120" s="3">
        <v>36</v>
      </c>
      <c r="C120" s="3">
        <v>104602</v>
      </c>
      <c r="D120" s="3" t="s">
        <v>14</v>
      </c>
      <c r="E120" s="3">
        <v>5</v>
      </c>
      <c r="F120" s="3" t="s">
        <v>9</v>
      </c>
      <c r="G120" s="8" t="s">
        <v>10</v>
      </c>
    </row>
    <row r="121" spans="1:7" x14ac:dyDescent="0.35">
      <c r="A121" s="9" t="s">
        <v>134</v>
      </c>
      <c r="B121" s="2">
        <v>39</v>
      </c>
      <c r="C121" s="2">
        <v>21931</v>
      </c>
      <c r="D121" s="2" t="s">
        <v>8</v>
      </c>
      <c r="E121" s="2">
        <v>9</v>
      </c>
      <c r="F121" s="2" t="s">
        <v>12</v>
      </c>
      <c r="G121" s="10" t="s">
        <v>10</v>
      </c>
    </row>
    <row r="122" spans="1:7" x14ac:dyDescent="0.35">
      <c r="A122" s="7" t="s">
        <v>135</v>
      </c>
      <c r="B122" s="3">
        <v>62</v>
      </c>
      <c r="C122" s="3">
        <v>138680</v>
      </c>
      <c r="D122" s="3" t="s">
        <v>8</v>
      </c>
      <c r="E122" s="3">
        <v>1</v>
      </c>
      <c r="F122" s="3" t="s">
        <v>12</v>
      </c>
      <c r="G122" s="8" t="s">
        <v>24</v>
      </c>
    </row>
    <row r="123" spans="1:7" x14ac:dyDescent="0.35">
      <c r="A123" s="9" t="s">
        <v>136</v>
      </c>
      <c r="B123" s="2">
        <v>52</v>
      </c>
      <c r="C123" s="2">
        <v>125466</v>
      </c>
      <c r="D123" s="2" t="s">
        <v>20</v>
      </c>
      <c r="E123" s="2">
        <v>3</v>
      </c>
      <c r="F123" s="2" t="s">
        <v>9</v>
      </c>
      <c r="G123" s="10" t="s">
        <v>24</v>
      </c>
    </row>
    <row r="124" spans="1:7" x14ac:dyDescent="0.35">
      <c r="A124" s="7" t="s">
        <v>137</v>
      </c>
      <c r="B124" s="3">
        <v>52</v>
      </c>
      <c r="C124" s="3">
        <v>39907</v>
      </c>
      <c r="D124" s="3" t="s">
        <v>8</v>
      </c>
      <c r="E124" s="3">
        <v>7</v>
      </c>
      <c r="F124" s="3" t="s">
        <v>12</v>
      </c>
      <c r="G124" s="8" t="s">
        <v>10</v>
      </c>
    </row>
    <row r="125" spans="1:7" x14ac:dyDescent="0.35">
      <c r="A125" s="9" t="s">
        <v>138</v>
      </c>
      <c r="B125" s="2">
        <v>58</v>
      </c>
      <c r="C125" s="2">
        <v>24053</v>
      </c>
      <c r="D125" s="2" t="s">
        <v>14</v>
      </c>
      <c r="E125" s="2">
        <v>3</v>
      </c>
      <c r="F125" s="2" t="s">
        <v>12</v>
      </c>
      <c r="G125" s="10" t="s">
        <v>10</v>
      </c>
    </row>
    <row r="126" spans="1:7" x14ac:dyDescent="0.35">
      <c r="A126" s="7" t="s">
        <v>139</v>
      </c>
      <c r="B126" s="3">
        <v>37</v>
      </c>
      <c r="C126" s="3">
        <v>41051</v>
      </c>
      <c r="D126" s="3" t="s">
        <v>17</v>
      </c>
      <c r="E126" s="3">
        <v>10</v>
      </c>
      <c r="F126" s="3" t="s">
        <v>9</v>
      </c>
      <c r="G126" s="8" t="s">
        <v>24</v>
      </c>
    </row>
    <row r="127" spans="1:7" x14ac:dyDescent="0.35">
      <c r="A127" s="9" t="s">
        <v>140</v>
      </c>
      <c r="B127" s="2">
        <v>50</v>
      </c>
      <c r="C127" s="2">
        <v>126056</v>
      </c>
      <c r="D127" s="2" t="s">
        <v>20</v>
      </c>
      <c r="E127" s="2">
        <v>10</v>
      </c>
      <c r="F127" s="2" t="s">
        <v>12</v>
      </c>
      <c r="G127" s="10" t="s">
        <v>24</v>
      </c>
    </row>
    <row r="128" spans="1:7" x14ac:dyDescent="0.35">
      <c r="A128" s="7" t="s">
        <v>141</v>
      </c>
      <c r="B128" s="3">
        <v>58</v>
      </c>
      <c r="C128" s="3">
        <v>25789</v>
      </c>
      <c r="D128" s="3" t="s">
        <v>8</v>
      </c>
      <c r="E128" s="3">
        <v>4</v>
      </c>
      <c r="F128" s="3" t="s">
        <v>9</v>
      </c>
      <c r="G128" s="8" t="s">
        <v>24</v>
      </c>
    </row>
    <row r="129" spans="1:7" x14ac:dyDescent="0.35">
      <c r="A129" s="9" t="s">
        <v>142</v>
      </c>
      <c r="B129" s="2">
        <v>64</v>
      </c>
      <c r="C129" s="2">
        <v>31282</v>
      </c>
      <c r="D129" s="2" t="s">
        <v>14</v>
      </c>
      <c r="E129" s="2">
        <v>4</v>
      </c>
      <c r="F129" s="2" t="s">
        <v>9</v>
      </c>
      <c r="G129" s="10" t="s">
        <v>10</v>
      </c>
    </row>
    <row r="130" spans="1:7" x14ac:dyDescent="0.35">
      <c r="A130" s="7" t="s">
        <v>143</v>
      </c>
      <c r="B130" s="3">
        <v>32</v>
      </c>
      <c r="C130" s="3">
        <v>10701</v>
      </c>
      <c r="D130" s="3" t="s">
        <v>17</v>
      </c>
      <c r="E130" s="3">
        <v>8</v>
      </c>
      <c r="F130" s="3" t="s">
        <v>12</v>
      </c>
      <c r="G130" s="8" t="s">
        <v>24</v>
      </c>
    </row>
    <row r="131" spans="1:7" x14ac:dyDescent="0.35">
      <c r="A131" s="9" t="s">
        <v>144</v>
      </c>
      <c r="B131" s="2">
        <v>24</v>
      </c>
      <c r="C131" s="2">
        <v>70680</v>
      </c>
      <c r="D131" s="2" t="s">
        <v>20</v>
      </c>
      <c r="E131" s="2">
        <v>5</v>
      </c>
      <c r="F131" s="2" t="s">
        <v>12</v>
      </c>
      <c r="G131" s="10" t="s">
        <v>10</v>
      </c>
    </row>
    <row r="132" spans="1:7" x14ac:dyDescent="0.35">
      <c r="A132" s="7" t="s">
        <v>145</v>
      </c>
      <c r="B132" s="3">
        <v>65</v>
      </c>
      <c r="C132" s="3">
        <v>71190</v>
      </c>
      <c r="D132" s="3" t="s">
        <v>20</v>
      </c>
      <c r="E132" s="3">
        <v>10</v>
      </c>
      <c r="F132" s="3" t="s">
        <v>9</v>
      </c>
      <c r="G132" s="8" t="s">
        <v>24</v>
      </c>
    </row>
    <row r="133" spans="1:7" x14ac:dyDescent="0.35">
      <c r="A133" s="9" t="s">
        <v>146</v>
      </c>
      <c r="B133" s="2">
        <v>29</v>
      </c>
      <c r="C133" s="2">
        <v>68932</v>
      </c>
      <c r="D133" s="2" t="s">
        <v>14</v>
      </c>
      <c r="E133" s="2">
        <v>5</v>
      </c>
      <c r="F133" s="2" t="s">
        <v>9</v>
      </c>
      <c r="G133" s="10" t="s">
        <v>10</v>
      </c>
    </row>
    <row r="134" spans="1:7" x14ac:dyDescent="0.35">
      <c r="A134" s="7" t="s">
        <v>147</v>
      </c>
      <c r="B134" s="3">
        <v>25</v>
      </c>
      <c r="C134" s="3">
        <v>53495</v>
      </c>
      <c r="D134" s="3" t="s">
        <v>20</v>
      </c>
      <c r="E134" s="3">
        <v>10</v>
      </c>
      <c r="F134" s="3" t="s">
        <v>12</v>
      </c>
      <c r="G134" s="8" t="s">
        <v>24</v>
      </c>
    </row>
    <row r="135" spans="1:7" x14ac:dyDescent="0.35">
      <c r="A135" s="9" t="s">
        <v>148</v>
      </c>
      <c r="B135" s="2">
        <v>29</v>
      </c>
      <c r="C135" s="2">
        <v>132866</v>
      </c>
      <c r="D135" s="2" t="s">
        <v>20</v>
      </c>
      <c r="E135" s="2">
        <v>7</v>
      </c>
      <c r="F135" s="2" t="s">
        <v>12</v>
      </c>
      <c r="G135" s="10" t="s">
        <v>24</v>
      </c>
    </row>
    <row r="136" spans="1:7" x14ac:dyDescent="0.35">
      <c r="A136" s="7" t="s">
        <v>149</v>
      </c>
      <c r="B136" s="3">
        <v>50</v>
      </c>
      <c r="C136" s="3">
        <v>31087</v>
      </c>
      <c r="D136" s="3" t="s">
        <v>8</v>
      </c>
      <c r="E136" s="3">
        <v>7</v>
      </c>
      <c r="F136" s="3" t="s">
        <v>12</v>
      </c>
      <c r="G136" s="8" t="s">
        <v>24</v>
      </c>
    </row>
    <row r="137" spans="1:7" x14ac:dyDescent="0.35">
      <c r="A137" s="9" t="s">
        <v>150</v>
      </c>
      <c r="B137" s="2">
        <v>23</v>
      </c>
      <c r="C137" s="2">
        <v>33940</v>
      </c>
      <c r="D137" s="2" t="s">
        <v>14</v>
      </c>
      <c r="E137" s="2">
        <v>10</v>
      </c>
      <c r="F137" s="2" t="s">
        <v>9</v>
      </c>
      <c r="G137" s="10" t="s">
        <v>24</v>
      </c>
    </row>
    <row r="138" spans="1:7" x14ac:dyDescent="0.35">
      <c r="A138" s="7" t="s">
        <v>151</v>
      </c>
      <c r="B138" s="3">
        <v>58</v>
      </c>
      <c r="C138" s="3">
        <v>20546</v>
      </c>
      <c r="D138" s="3" t="s">
        <v>14</v>
      </c>
      <c r="E138" s="3">
        <v>8</v>
      </c>
      <c r="F138" s="3" t="s">
        <v>12</v>
      </c>
      <c r="G138" s="8" t="s">
        <v>24</v>
      </c>
    </row>
    <row r="139" spans="1:7" x14ac:dyDescent="0.35">
      <c r="A139" s="9" t="s">
        <v>152</v>
      </c>
      <c r="B139" s="2">
        <v>33</v>
      </c>
      <c r="C139" s="2">
        <v>124264</v>
      </c>
      <c r="D139" s="2" t="s">
        <v>17</v>
      </c>
      <c r="E139" s="2">
        <v>2</v>
      </c>
      <c r="F139" s="2" t="s">
        <v>12</v>
      </c>
      <c r="G139" s="10" t="s">
        <v>24</v>
      </c>
    </row>
    <row r="140" spans="1:7" x14ac:dyDescent="0.35">
      <c r="A140" s="7" t="s">
        <v>153</v>
      </c>
      <c r="B140" s="3">
        <v>48</v>
      </c>
      <c r="C140" s="3">
        <v>97374</v>
      </c>
      <c r="D140" s="3" t="s">
        <v>20</v>
      </c>
      <c r="E140" s="3">
        <v>2</v>
      </c>
      <c r="F140" s="3" t="s">
        <v>9</v>
      </c>
      <c r="G140" s="8" t="s">
        <v>24</v>
      </c>
    </row>
    <row r="141" spans="1:7" x14ac:dyDescent="0.35">
      <c r="A141" s="9" t="s">
        <v>154</v>
      </c>
      <c r="B141" s="2">
        <v>48</v>
      </c>
      <c r="C141" s="2">
        <v>139884</v>
      </c>
      <c r="D141" s="2" t="s">
        <v>20</v>
      </c>
      <c r="E141" s="2">
        <v>7</v>
      </c>
      <c r="F141" s="2" t="s">
        <v>9</v>
      </c>
      <c r="G141" s="10" t="s">
        <v>24</v>
      </c>
    </row>
    <row r="142" spans="1:7" x14ac:dyDescent="0.35">
      <c r="A142" s="7" t="s">
        <v>155</v>
      </c>
      <c r="B142" s="3">
        <v>27</v>
      </c>
      <c r="C142" s="3">
        <v>92448</v>
      </c>
      <c r="D142" s="3" t="s">
        <v>20</v>
      </c>
      <c r="E142" s="3">
        <v>6</v>
      </c>
      <c r="F142" s="3" t="s">
        <v>9</v>
      </c>
      <c r="G142" s="8" t="s">
        <v>24</v>
      </c>
    </row>
    <row r="143" spans="1:7" x14ac:dyDescent="0.35">
      <c r="A143" s="9" t="s">
        <v>156</v>
      </c>
      <c r="B143" s="2">
        <v>54</v>
      </c>
      <c r="C143" s="2">
        <v>10301</v>
      </c>
      <c r="D143" s="2" t="s">
        <v>17</v>
      </c>
      <c r="E143" s="2">
        <v>7</v>
      </c>
      <c r="F143" s="2" t="s">
        <v>9</v>
      </c>
      <c r="G143" s="10" t="s">
        <v>10</v>
      </c>
    </row>
    <row r="144" spans="1:7" x14ac:dyDescent="0.35">
      <c r="A144" s="7" t="s">
        <v>157</v>
      </c>
      <c r="B144" s="3">
        <v>55</v>
      </c>
      <c r="C144" s="3">
        <v>104838</v>
      </c>
      <c r="D144" s="3" t="s">
        <v>17</v>
      </c>
      <c r="E144" s="3">
        <v>8</v>
      </c>
      <c r="F144" s="3" t="s">
        <v>9</v>
      </c>
      <c r="G144" s="8" t="s">
        <v>10</v>
      </c>
    </row>
    <row r="145" spans="1:7" x14ac:dyDescent="0.35">
      <c r="A145" s="9" t="s">
        <v>158</v>
      </c>
      <c r="B145" s="2">
        <v>39</v>
      </c>
      <c r="C145" s="2">
        <v>44344</v>
      </c>
      <c r="D145" s="2" t="s">
        <v>20</v>
      </c>
      <c r="E145" s="2">
        <v>8</v>
      </c>
      <c r="F145" s="2" t="s">
        <v>12</v>
      </c>
      <c r="G145" s="10" t="s">
        <v>10</v>
      </c>
    </row>
    <row r="146" spans="1:7" x14ac:dyDescent="0.35">
      <c r="A146" s="7" t="s">
        <v>159</v>
      </c>
      <c r="B146" s="3">
        <v>23</v>
      </c>
      <c r="C146" s="3">
        <v>72730</v>
      </c>
      <c r="D146" s="3" t="s">
        <v>14</v>
      </c>
      <c r="E146" s="3">
        <v>5</v>
      </c>
      <c r="F146" s="3" t="s">
        <v>9</v>
      </c>
      <c r="G146" s="8" t="s">
        <v>24</v>
      </c>
    </row>
    <row r="147" spans="1:7" x14ac:dyDescent="0.35">
      <c r="A147" s="9" t="s">
        <v>160</v>
      </c>
      <c r="B147" s="2">
        <v>27</v>
      </c>
      <c r="C147" s="2">
        <v>68903</v>
      </c>
      <c r="D147" s="2" t="s">
        <v>8</v>
      </c>
      <c r="E147" s="2">
        <v>8</v>
      </c>
      <c r="F147" s="2" t="s">
        <v>9</v>
      </c>
      <c r="G147" s="10" t="s">
        <v>10</v>
      </c>
    </row>
    <row r="148" spans="1:7" x14ac:dyDescent="0.35">
      <c r="A148" s="7" t="s">
        <v>161</v>
      </c>
      <c r="B148" s="3">
        <v>53</v>
      </c>
      <c r="C148" s="3">
        <v>86509</v>
      </c>
      <c r="D148" s="3" t="s">
        <v>20</v>
      </c>
      <c r="E148" s="3">
        <v>7</v>
      </c>
      <c r="F148" s="3" t="s">
        <v>12</v>
      </c>
      <c r="G148" s="8" t="s">
        <v>24</v>
      </c>
    </row>
    <row r="149" spans="1:7" x14ac:dyDescent="0.35">
      <c r="A149" s="9" t="s">
        <v>162</v>
      </c>
      <c r="B149" s="2">
        <v>37</v>
      </c>
      <c r="C149" s="2">
        <v>129743</v>
      </c>
      <c r="D149" s="2" t="s">
        <v>14</v>
      </c>
      <c r="E149" s="2">
        <v>7</v>
      </c>
      <c r="F149" s="2" t="s">
        <v>9</v>
      </c>
      <c r="G149" s="10" t="s">
        <v>10</v>
      </c>
    </row>
    <row r="150" spans="1:7" x14ac:dyDescent="0.35">
      <c r="A150" s="7" t="s">
        <v>163</v>
      </c>
      <c r="B150" s="3">
        <v>26</v>
      </c>
      <c r="C150" s="3">
        <v>82416</v>
      </c>
      <c r="D150" s="3" t="s">
        <v>17</v>
      </c>
      <c r="E150" s="3">
        <v>6</v>
      </c>
      <c r="F150" s="3" t="s">
        <v>12</v>
      </c>
      <c r="G150" s="8" t="s">
        <v>10</v>
      </c>
    </row>
    <row r="151" spans="1:7" x14ac:dyDescent="0.35">
      <c r="A151" s="9" t="s">
        <v>164</v>
      </c>
      <c r="B151" s="2">
        <v>40</v>
      </c>
      <c r="C151" s="2">
        <v>88264</v>
      </c>
      <c r="D151" s="2" t="s">
        <v>17</v>
      </c>
      <c r="E151" s="2">
        <v>3</v>
      </c>
      <c r="F151" s="2" t="s">
        <v>12</v>
      </c>
      <c r="G151" s="10" t="s">
        <v>24</v>
      </c>
    </row>
    <row r="152" spans="1:7" x14ac:dyDescent="0.35">
      <c r="A152" s="7" t="s">
        <v>165</v>
      </c>
      <c r="B152" s="3">
        <v>44</v>
      </c>
      <c r="C152" s="3">
        <v>97147</v>
      </c>
      <c r="D152" s="3" t="s">
        <v>17</v>
      </c>
      <c r="E152" s="3">
        <v>8</v>
      </c>
      <c r="F152" s="3" t="s">
        <v>12</v>
      </c>
      <c r="G152" s="8" t="s">
        <v>10</v>
      </c>
    </row>
    <row r="153" spans="1:7" x14ac:dyDescent="0.35">
      <c r="A153" s="9" t="s">
        <v>166</v>
      </c>
      <c r="B153" s="2">
        <v>66</v>
      </c>
      <c r="C153" s="2">
        <v>72601</v>
      </c>
      <c r="D153" s="2" t="s">
        <v>17</v>
      </c>
      <c r="E153" s="2">
        <v>4</v>
      </c>
      <c r="F153" s="2" t="s">
        <v>12</v>
      </c>
      <c r="G153" s="10" t="s">
        <v>10</v>
      </c>
    </row>
    <row r="154" spans="1:7" x14ac:dyDescent="0.35">
      <c r="A154" s="7" t="s">
        <v>167</v>
      </c>
      <c r="B154" s="3">
        <v>42</v>
      </c>
      <c r="C154" s="3">
        <v>133987</v>
      </c>
      <c r="D154" s="3" t="s">
        <v>17</v>
      </c>
      <c r="E154" s="3">
        <v>7</v>
      </c>
      <c r="F154" s="3" t="s">
        <v>9</v>
      </c>
      <c r="G154" s="8" t="s">
        <v>24</v>
      </c>
    </row>
    <row r="155" spans="1:7" x14ac:dyDescent="0.35">
      <c r="A155" s="9" t="s">
        <v>168</v>
      </c>
      <c r="B155" s="2">
        <v>24</v>
      </c>
      <c r="C155" s="2">
        <v>43094</v>
      </c>
      <c r="D155" s="2" t="s">
        <v>20</v>
      </c>
      <c r="E155" s="2">
        <v>2</v>
      </c>
      <c r="F155" s="2" t="s">
        <v>12</v>
      </c>
      <c r="G155" s="10" t="s">
        <v>10</v>
      </c>
    </row>
    <row r="156" spans="1:7" x14ac:dyDescent="0.35">
      <c r="A156" s="7" t="s">
        <v>169</v>
      </c>
      <c r="B156" s="3">
        <v>55</v>
      </c>
      <c r="C156" s="3">
        <v>129780</v>
      </c>
      <c r="D156" s="3" t="s">
        <v>8</v>
      </c>
      <c r="E156" s="3">
        <v>3</v>
      </c>
      <c r="F156" s="3" t="s">
        <v>12</v>
      </c>
      <c r="G156" s="8" t="s">
        <v>10</v>
      </c>
    </row>
    <row r="157" spans="1:7" x14ac:dyDescent="0.35">
      <c r="A157" s="9" t="s">
        <v>170</v>
      </c>
      <c r="B157" s="2">
        <v>26</v>
      </c>
      <c r="C157" s="2">
        <v>133074</v>
      </c>
      <c r="D157" s="2" t="s">
        <v>20</v>
      </c>
      <c r="E157" s="2">
        <v>6</v>
      </c>
      <c r="F157" s="2" t="s">
        <v>12</v>
      </c>
      <c r="G157" s="10" t="s">
        <v>10</v>
      </c>
    </row>
    <row r="158" spans="1:7" x14ac:dyDescent="0.35">
      <c r="A158" s="7" t="s">
        <v>171</v>
      </c>
      <c r="B158" s="3">
        <v>43</v>
      </c>
      <c r="C158" s="3">
        <v>149885</v>
      </c>
      <c r="D158" s="3" t="s">
        <v>17</v>
      </c>
      <c r="E158" s="3">
        <v>6</v>
      </c>
      <c r="F158" s="3" t="s">
        <v>12</v>
      </c>
      <c r="G158" s="8" t="s">
        <v>10</v>
      </c>
    </row>
    <row r="159" spans="1:7" x14ac:dyDescent="0.35">
      <c r="A159" s="9" t="s">
        <v>172</v>
      </c>
      <c r="B159" s="2">
        <v>61</v>
      </c>
      <c r="C159" s="2">
        <v>27936</v>
      </c>
      <c r="D159" s="2" t="s">
        <v>14</v>
      </c>
      <c r="E159" s="2">
        <v>5</v>
      </c>
      <c r="F159" s="2" t="s">
        <v>9</v>
      </c>
      <c r="G159" s="10" t="s">
        <v>10</v>
      </c>
    </row>
    <row r="160" spans="1:7" x14ac:dyDescent="0.35">
      <c r="A160" s="7" t="s">
        <v>173</v>
      </c>
      <c r="B160" s="3">
        <v>49</v>
      </c>
      <c r="C160" s="3">
        <v>35806</v>
      </c>
      <c r="D160" s="3" t="s">
        <v>8</v>
      </c>
      <c r="E160" s="3">
        <v>8</v>
      </c>
      <c r="F160" s="3" t="s">
        <v>9</v>
      </c>
      <c r="G160" s="8" t="s">
        <v>24</v>
      </c>
    </row>
    <row r="161" spans="1:7" x14ac:dyDescent="0.35">
      <c r="A161" s="9" t="s">
        <v>174</v>
      </c>
      <c r="B161" s="2">
        <v>23</v>
      </c>
      <c r="C161" s="2">
        <v>22056</v>
      </c>
      <c r="D161" s="2" t="s">
        <v>20</v>
      </c>
      <c r="E161" s="2">
        <v>1</v>
      </c>
      <c r="F161" s="2" t="s">
        <v>12</v>
      </c>
      <c r="G161" s="10" t="s">
        <v>24</v>
      </c>
    </row>
    <row r="162" spans="1:7" x14ac:dyDescent="0.35">
      <c r="A162" s="7" t="s">
        <v>175</v>
      </c>
      <c r="B162" s="3">
        <v>45</v>
      </c>
      <c r="C162" s="3">
        <v>122901</v>
      </c>
      <c r="D162" s="3" t="s">
        <v>14</v>
      </c>
      <c r="E162" s="3">
        <v>4</v>
      </c>
      <c r="F162" s="3" t="s">
        <v>12</v>
      </c>
      <c r="G162" s="8" t="s">
        <v>10</v>
      </c>
    </row>
    <row r="163" spans="1:7" x14ac:dyDescent="0.35">
      <c r="A163" s="9" t="s">
        <v>176</v>
      </c>
      <c r="B163" s="2">
        <v>32</v>
      </c>
      <c r="C163" s="2">
        <v>55893</v>
      </c>
      <c r="D163" s="2" t="s">
        <v>8</v>
      </c>
      <c r="E163" s="2">
        <v>10</v>
      </c>
      <c r="F163" s="2" t="s">
        <v>12</v>
      </c>
      <c r="G163" s="10" t="s">
        <v>10</v>
      </c>
    </row>
    <row r="164" spans="1:7" x14ac:dyDescent="0.35">
      <c r="A164" s="7" t="s">
        <v>177</v>
      </c>
      <c r="B164" s="3">
        <v>53</v>
      </c>
      <c r="C164" s="3">
        <v>47517</v>
      </c>
      <c r="D164" s="3" t="s">
        <v>14</v>
      </c>
      <c r="E164" s="3">
        <v>8</v>
      </c>
      <c r="F164" s="3" t="s">
        <v>12</v>
      </c>
      <c r="G164" s="8" t="s">
        <v>24</v>
      </c>
    </row>
    <row r="165" spans="1:7" x14ac:dyDescent="0.35">
      <c r="A165" s="9" t="s">
        <v>178</v>
      </c>
      <c r="B165" s="2">
        <v>38</v>
      </c>
      <c r="C165" s="2">
        <v>12463</v>
      </c>
      <c r="D165" s="2" t="s">
        <v>17</v>
      </c>
      <c r="E165" s="2">
        <v>5</v>
      </c>
      <c r="F165" s="2" t="s">
        <v>9</v>
      </c>
      <c r="G165" s="10" t="s">
        <v>10</v>
      </c>
    </row>
    <row r="166" spans="1:7" x14ac:dyDescent="0.35">
      <c r="A166" s="7" t="s">
        <v>179</v>
      </c>
      <c r="B166" s="3">
        <v>50</v>
      </c>
      <c r="C166" s="3">
        <v>100587</v>
      </c>
      <c r="D166" s="3" t="s">
        <v>20</v>
      </c>
      <c r="E166" s="3">
        <v>7</v>
      </c>
      <c r="F166" s="3" t="s">
        <v>12</v>
      </c>
      <c r="G166" s="8" t="s">
        <v>24</v>
      </c>
    </row>
    <row r="167" spans="1:7" x14ac:dyDescent="0.35">
      <c r="A167" s="9" t="s">
        <v>180</v>
      </c>
      <c r="B167" s="2">
        <v>41</v>
      </c>
      <c r="C167" s="2">
        <v>62223</v>
      </c>
      <c r="D167" s="2" t="s">
        <v>17</v>
      </c>
      <c r="E167" s="2">
        <v>8</v>
      </c>
      <c r="F167" s="2" t="s">
        <v>9</v>
      </c>
      <c r="G167" s="10" t="s">
        <v>10</v>
      </c>
    </row>
    <row r="168" spans="1:7" x14ac:dyDescent="0.35">
      <c r="A168" s="7" t="s">
        <v>181</v>
      </c>
      <c r="B168" s="3">
        <v>46</v>
      </c>
      <c r="C168" s="3">
        <v>104098</v>
      </c>
      <c r="D168" s="3" t="s">
        <v>20</v>
      </c>
      <c r="E168" s="3">
        <v>5</v>
      </c>
      <c r="F168" s="3" t="s">
        <v>9</v>
      </c>
      <c r="G168" s="8" t="s">
        <v>24</v>
      </c>
    </row>
    <row r="169" spans="1:7" x14ac:dyDescent="0.35">
      <c r="A169" s="9" t="s">
        <v>182</v>
      </c>
      <c r="B169" s="2">
        <v>39</v>
      </c>
      <c r="C169" s="2">
        <v>12122</v>
      </c>
      <c r="D169" s="2" t="s">
        <v>8</v>
      </c>
      <c r="E169" s="2">
        <v>10</v>
      </c>
      <c r="F169" s="2" t="s">
        <v>12</v>
      </c>
      <c r="G169" s="10" t="s">
        <v>24</v>
      </c>
    </row>
    <row r="170" spans="1:7" x14ac:dyDescent="0.35">
      <c r="A170" s="7" t="s">
        <v>183</v>
      </c>
      <c r="B170" s="3">
        <v>71</v>
      </c>
      <c r="C170" s="3">
        <v>70324</v>
      </c>
      <c r="D170" s="3" t="s">
        <v>20</v>
      </c>
      <c r="E170" s="3">
        <v>4</v>
      </c>
      <c r="F170" s="3" t="s">
        <v>9</v>
      </c>
      <c r="G170" s="8" t="s">
        <v>24</v>
      </c>
    </row>
    <row r="171" spans="1:7" x14ac:dyDescent="0.35">
      <c r="A171" s="9" t="s">
        <v>184</v>
      </c>
      <c r="B171" s="2">
        <v>65</v>
      </c>
      <c r="C171" s="2">
        <v>45855</v>
      </c>
      <c r="D171" s="2" t="s">
        <v>8</v>
      </c>
      <c r="E171" s="2">
        <v>1</v>
      </c>
      <c r="F171" s="2" t="s">
        <v>12</v>
      </c>
      <c r="G171" s="10" t="s">
        <v>24</v>
      </c>
    </row>
    <row r="172" spans="1:7" x14ac:dyDescent="0.35">
      <c r="A172" s="7" t="s">
        <v>185</v>
      </c>
      <c r="B172" s="3">
        <v>24</v>
      </c>
      <c r="C172" s="3">
        <v>105646</v>
      </c>
      <c r="D172" s="3" t="s">
        <v>14</v>
      </c>
      <c r="E172" s="3">
        <v>2</v>
      </c>
      <c r="F172" s="3" t="s">
        <v>12</v>
      </c>
      <c r="G172" s="8" t="s">
        <v>24</v>
      </c>
    </row>
    <row r="173" spans="1:7" x14ac:dyDescent="0.35">
      <c r="A173" s="9" t="s">
        <v>186</v>
      </c>
      <c r="B173" s="2">
        <v>69</v>
      </c>
      <c r="C173" s="2">
        <v>118921</v>
      </c>
      <c r="D173" s="2" t="s">
        <v>14</v>
      </c>
      <c r="E173" s="2">
        <v>4</v>
      </c>
      <c r="F173" s="2" t="s">
        <v>9</v>
      </c>
      <c r="G173" s="10" t="s">
        <v>24</v>
      </c>
    </row>
    <row r="174" spans="1:7" x14ac:dyDescent="0.35">
      <c r="A174" s="7" t="s">
        <v>187</v>
      </c>
      <c r="B174" s="3">
        <v>55</v>
      </c>
      <c r="C174" s="3">
        <v>141542</v>
      </c>
      <c r="D174" s="3" t="s">
        <v>20</v>
      </c>
      <c r="E174" s="3">
        <v>3</v>
      </c>
      <c r="F174" s="3" t="s">
        <v>12</v>
      </c>
      <c r="G174" s="8" t="s">
        <v>24</v>
      </c>
    </row>
    <row r="175" spans="1:7" x14ac:dyDescent="0.35">
      <c r="A175" s="9" t="s">
        <v>188</v>
      </c>
      <c r="B175" s="2">
        <v>73</v>
      </c>
      <c r="C175" s="2">
        <v>87369</v>
      </c>
      <c r="D175" s="2" t="s">
        <v>20</v>
      </c>
      <c r="E175" s="2">
        <v>2</v>
      </c>
      <c r="F175" s="2" t="s">
        <v>12</v>
      </c>
      <c r="G175" s="10" t="s">
        <v>10</v>
      </c>
    </row>
    <row r="176" spans="1:7" x14ac:dyDescent="0.35">
      <c r="A176" s="7" t="s">
        <v>189</v>
      </c>
      <c r="B176" s="3">
        <v>31</v>
      </c>
      <c r="C176" s="3">
        <v>69143</v>
      </c>
      <c r="D176" s="3" t="s">
        <v>17</v>
      </c>
      <c r="E176" s="3">
        <v>9</v>
      </c>
      <c r="F176" s="3" t="s">
        <v>12</v>
      </c>
      <c r="G176" s="8" t="s">
        <v>10</v>
      </c>
    </row>
    <row r="177" spans="1:7" x14ac:dyDescent="0.35">
      <c r="A177" s="9" t="s">
        <v>190</v>
      </c>
      <c r="B177" s="2">
        <v>72</v>
      </c>
      <c r="C177" s="2">
        <v>113435</v>
      </c>
      <c r="D177" s="2" t="s">
        <v>8</v>
      </c>
      <c r="E177" s="2">
        <v>5</v>
      </c>
      <c r="F177" s="2" t="s">
        <v>9</v>
      </c>
      <c r="G177" s="10" t="s">
        <v>24</v>
      </c>
    </row>
    <row r="178" spans="1:7" x14ac:dyDescent="0.35">
      <c r="A178" s="7" t="s">
        <v>191</v>
      </c>
      <c r="B178" s="3">
        <v>45</v>
      </c>
      <c r="C178" s="3">
        <v>78724</v>
      </c>
      <c r="D178" s="3" t="s">
        <v>17</v>
      </c>
      <c r="E178" s="3">
        <v>6</v>
      </c>
      <c r="F178" s="3" t="s">
        <v>9</v>
      </c>
      <c r="G178" s="8" t="s">
        <v>10</v>
      </c>
    </row>
    <row r="179" spans="1:7" x14ac:dyDescent="0.35">
      <c r="A179" s="9" t="s">
        <v>192</v>
      </c>
      <c r="B179" s="2">
        <v>52</v>
      </c>
      <c r="C179" s="2">
        <v>16560</v>
      </c>
      <c r="D179" s="2" t="s">
        <v>20</v>
      </c>
      <c r="E179" s="2">
        <v>10</v>
      </c>
      <c r="F179" s="2" t="s">
        <v>9</v>
      </c>
      <c r="G179" s="10" t="s">
        <v>10</v>
      </c>
    </row>
    <row r="180" spans="1:7" x14ac:dyDescent="0.35">
      <c r="A180" s="7" t="s">
        <v>193</v>
      </c>
      <c r="B180" s="3">
        <v>62</v>
      </c>
      <c r="C180" s="3">
        <v>131704</v>
      </c>
      <c r="D180" s="3" t="s">
        <v>20</v>
      </c>
      <c r="E180" s="3">
        <v>7</v>
      </c>
      <c r="F180" s="3" t="s">
        <v>9</v>
      </c>
      <c r="G180" s="8" t="s">
        <v>10</v>
      </c>
    </row>
    <row r="181" spans="1:7" x14ac:dyDescent="0.35">
      <c r="A181" s="9" t="s">
        <v>194</v>
      </c>
      <c r="B181" s="2">
        <v>24</v>
      </c>
      <c r="C181" s="2">
        <v>19754</v>
      </c>
      <c r="D181" s="2" t="s">
        <v>20</v>
      </c>
      <c r="E181" s="2">
        <v>8</v>
      </c>
      <c r="F181" s="2" t="s">
        <v>9</v>
      </c>
      <c r="G181" s="10" t="s">
        <v>10</v>
      </c>
    </row>
    <row r="182" spans="1:7" x14ac:dyDescent="0.35">
      <c r="A182" s="7" t="s">
        <v>195</v>
      </c>
      <c r="B182" s="3">
        <v>37</v>
      </c>
      <c r="C182" s="3">
        <v>45563</v>
      </c>
      <c r="D182" s="3" t="s">
        <v>17</v>
      </c>
      <c r="E182" s="3">
        <v>8</v>
      </c>
      <c r="F182" s="3" t="s">
        <v>12</v>
      </c>
      <c r="G182" s="8" t="s">
        <v>24</v>
      </c>
    </row>
    <row r="183" spans="1:7" x14ac:dyDescent="0.35">
      <c r="A183" s="9" t="s">
        <v>196</v>
      </c>
      <c r="B183" s="2">
        <v>59</v>
      </c>
      <c r="C183" s="2">
        <v>50507</v>
      </c>
      <c r="D183" s="2" t="s">
        <v>17</v>
      </c>
      <c r="E183" s="2">
        <v>2</v>
      </c>
      <c r="F183" s="2" t="s">
        <v>12</v>
      </c>
      <c r="G183" s="10" t="s">
        <v>24</v>
      </c>
    </row>
    <row r="184" spans="1:7" x14ac:dyDescent="0.35">
      <c r="A184" s="7" t="s">
        <v>197</v>
      </c>
      <c r="B184" s="3">
        <v>39</v>
      </c>
      <c r="C184" s="3">
        <v>18576</v>
      </c>
      <c r="D184" s="3" t="s">
        <v>20</v>
      </c>
      <c r="E184" s="3">
        <v>4</v>
      </c>
      <c r="F184" s="3" t="s">
        <v>12</v>
      </c>
      <c r="G184" s="8" t="s">
        <v>24</v>
      </c>
    </row>
    <row r="185" spans="1:7" x14ac:dyDescent="0.35">
      <c r="A185" s="9" t="s">
        <v>198</v>
      </c>
      <c r="B185" s="2">
        <v>37</v>
      </c>
      <c r="C185" s="2">
        <v>105075</v>
      </c>
      <c r="D185" s="2" t="s">
        <v>8</v>
      </c>
      <c r="E185" s="2">
        <v>6</v>
      </c>
      <c r="F185" s="2" t="s">
        <v>12</v>
      </c>
      <c r="G185" s="10" t="s">
        <v>10</v>
      </c>
    </row>
    <row r="186" spans="1:7" x14ac:dyDescent="0.35">
      <c r="A186" s="7" t="s">
        <v>199</v>
      </c>
      <c r="B186" s="3">
        <v>47</v>
      </c>
      <c r="C186" s="3">
        <v>82320</v>
      </c>
      <c r="D186" s="3" t="s">
        <v>14</v>
      </c>
      <c r="E186" s="3">
        <v>2</v>
      </c>
      <c r="F186" s="3" t="s">
        <v>12</v>
      </c>
      <c r="G186" s="8" t="s">
        <v>10</v>
      </c>
    </row>
    <row r="187" spans="1:7" x14ac:dyDescent="0.35">
      <c r="A187" s="9" t="s">
        <v>200</v>
      </c>
      <c r="B187" s="2">
        <v>64</v>
      </c>
      <c r="C187" s="2">
        <v>65602</v>
      </c>
      <c r="D187" s="2" t="s">
        <v>8</v>
      </c>
      <c r="E187" s="2">
        <v>1</v>
      </c>
      <c r="F187" s="2" t="s">
        <v>12</v>
      </c>
      <c r="G187" s="10" t="s">
        <v>10</v>
      </c>
    </row>
    <row r="188" spans="1:7" x14ac:dyDescent="0.35">
      <c r="A188" s="7" t="s">
        <v>201</v>
      </c>
      <c r="B188" s="3">
        <v>30</v>
      </c>
      <c r="C188" s="3">
        <v>63793</v>
      </c>
      <c r="D188" s="3" t="s">
        <v>8</v>
      </c>
      <c r="E188" s="3">
        <v>9</v>
      </c>
      <c r="F188" s="3" t="s">
        <v>9</v>
      </c>
      <c r="G188" s="8" t="s">
        <v>10</v>
      </c>
    </row>
    <row r="189" spans="1:7" x14ac:dyDescent="0.35">
      <c r="A189" s="9" t="s">
        <v>202</v>
      </c>
      <c r="B189" s="2">
        <v>74</v>
      </c>
      <c r="C189" s="2">
        <v>71079</v>
      </c>
      <c r="D189" s="2" t="s">
        <v>20</v>
      </c>
      <c r="E189" s="2">
        <v>3</v>
      </c>
      <c r="F189" s="2" t="s">
        <v>9</v>
      </c>
      <c r="G189" s="10" t="s">
        <v>24</v>
      </c>
    </row>
    <row r="190" spans="1:7" x14ac:dyDescent="0.35">
      <c r="A190" s="7" t="s">
        <v>203</v>
      </c>
      <c r="B190" s="3">
        <v>31</v>
      </c>
      <c r="C190" s="3">
        <v>44076</v>
      </c>
      <c r="D190" s="3" t="s">
        <v>20</v>
      </c>
      <c r="E190" s="3">
        <v>3</v>
      </c>
      <c r="F190" s="3" t="s">
        <v>9</v>
      </c>
      <c r="G190" s="8" t="s">
        <v>10</v>
      </c>
    </row>
    <row r="191" spans="1:7" x14ac:dyDescent="0.35">
      <c r="A191" s="9" t="s">
        <v>204</v>
      </c>
      <c r="B191" s="2">
        <v>30</v>
      </c>
      <c r="C191" s="2">
        <v>13895</v>
      </c>
      <c r="D191" s="2" t="s">
        <v>20</v>
      </c>
      <c r="E191" s="2">
        <v>4</v>
      </c>
      <c r="F191" s="2" t="s">
        <v>12</v>
      </c>
      <c r="G191" s="10" t="s">
        <v>10</v>
      </c>
    </row>
    <row r="192" spans="1:7" x14ac:dyDescent="0.35">
      <c r="A192" s="7" t="s">
        <v>205</v>
      </c>
      <c r="B192" s="3">
        <v>33</v>
      </c>
      <c r="C192" s="3">
        <v>79564</v>
      </c>
      <c r="D192" s="3" t="s">
        <v>8</v>
      </c>
      <c r="E192" s="3">
        <v>3</v>
      </c>
      <c r="F192" s="3" t="s">
        <v>12</v>
      </c>
      <c r="G192" s="8" t="s">
        <v>10</v>
      </c>
    </row>
    <row r="193" spans="1:7" x14ac:dyDescent="0.35">
      <c r="A193" s="9" t="s">
        <v>206</v>
      </c>
      <c r="B193" s="2">
        <v>69</v>
      </c>
      <c r="C193" s="2">
        <v>26661</v>
      </c>
      <c r="D193" s="2" t="s">
        <v>17</v>
      </c>
      <c r="E193" s="2">
        <v>8</v>
      </c>
      <c r="F193" s="2" t="s">
        <v>12</v>
      </c>
      <c r="G193" s="10" t="s">
        <v>10</v>
      </c>
    </row>
    <row r="194" spans="1:7" x14ac:dyDescent="0.35">
      <c r="A194" s="7" t="s">
        <v>207</v>
      </c>
      <c r="B194" s="3">
        <v>50</v>
      </c>
      <c r="C194" s="3">
        <v>142078</v>
      </c>
      <c r="D194" s="3" t="s">
        <v>14</v>
      </c>
      <c r="E194" s="3">
        <v>10</v>
      </c>
      <c r="F194" s="3" t="s">
        <v>9</v>
      </c>
      <c r="G194" s="8" t="s">
        <v>24</v>
      </c>
    </row>
    <row r="195" spans="1:7" x14ac:dyDescent="0.35">
      <c r="A195" s="9" t="s">
        <v>208</v>
      </c>
      <c r="B195" s="2">
        <v>51</v>
      </c>
      <c r="C195" s="2">
        <v>18165</v>
      </c>
      <c r="D195" s="2" t="s">
        <v>8</v>
      </c>
      <c r="E195" s="2">
        <v>8</v>
      </c>
      <c r="F195" s="2" t="s">
        <v>12</v>
      </c>
      <c r="G195" s="10" t="s">
        <v>24</v>
      </c>
    </row>
    <row r="196" spans="1:7" x14ac:dyDescent="0.35">
      <c r="A196" s="7" t="s">
        <v>209</v>
      </c>
      <c r="B196" s="3">
        <v>65</v>
      </c>
      <c r="C196" s="3">
        <v>38301</v>
      </c>
      <c r="D196" s="3" t="s">
        <v>17</v>
      </c>
      <c r="E196" s="3">
        <v>8</v>
      </c>
      <c r="F196" s="3" t="s">
        <v>9</v>
      </c>
      <c r="G196" s="8" t="s">
        <v>10</v>
      </c>
    </row>
    <row r="197" spans="1:7" x14ac:dyDescent="0.35">
      <c r="A197" s="9" t="s">
        <v>210</v>
      </c>
      <c r="B197" s="2">
        <v>42</v>
      </c>
      <c r="C197" s="2">
        <v>48884</v>
      </c>
      <c r="D197" s="2" t="s">
        <v>8</v>
      </c>
      <c r="E197" s="2">
        <v>3</v>
      </c>
      <c r="F197" s="2" t="s">
        <v>12</v>
      </c>
      <c r="G197" s="10" t="s">
        <v>24</v>
      </c>
    </row>
    <row r="198" spans="1:7" x14ac:dyDescent="0.35">
      <c r="A198" s="7" t="s">
        <v>211</v>
      </c>
      <c r="B198" s="3">
        <v>46</v>
      </c>
      <c r="C198" s="3">
        <v>149082</v>
      </c>
      <c r="D198" s="3" t="s">
        <v>20</v>
      </c>
      <c r="E198" s="3">
        <v>8</v>
      </c>
      <c r="F198" s="3" t="s">
        <v>12</v>
      </c>
      <c r="G198" s="8" t="s">
        <v>10</v>
      </c>
    </row>
    <row r="199" spans="1:7" x14ac:dyDescent="0.35">
      <c r="A199" s="9" t="s">
        <v>212</v>
      </c>
      <c r="B199" s="2">
        <v>72</v>
      </c>
      <c r="C199" s="2">
        <v>39992</v>
      </c>
      <c r="D199" s="2" t="s">
        <v>14</v>
      </c>
      <c r="E199" s="2">
        <v>7</v>
      </c>
      <c r="F199" s="2" t="s">
        <v>12</v>
      </c>
      <c r="G199" s="10" t="s">
        <v>10</v>
      </c>
    </row>
    <row r="200" spans="1:7" x14ac:dyDescent="0.35">
      <c r="A200" s="7" t="s">
        <v>213</v>
      </c>
      <c r="B200" s="3">
        <v>48</v>
      </c>
      <c r="C200" s="3">
        <v>98848</v>
      </c>
      <c r="D200" s="3" t="s">
        <v>17</v>
      </c>
      <c r="E200" s="3">
        <v>7</v>
      </c>
      <c r="F200" s="3" t="s">
        <v>12</v>
      </c>
      <c r="G200" s="8" t="s">
        <v>10</v>
      </c>
    </row>
    <row r="201" spans="1:7" ht="15" thickBot="1" x14ac:dyDescent="0.4">
      <c r="A201" s="11" t="s">
        <v>214</v>
      </c>
      <c r="B201" s="12">
        <v>42</v>
      </c>
      <c r="C201" s="12">
        <v>121873</v>
      </c>
      <c r="D201" s="12" t="s">
        <v>20</v>
      </c>
      <c r="E201" s="12">
        <v>5</v>
      </c>
      <c r="F201" s="12" t="s">
        <v>12</v>
      </c>
      <c r="G201" s="13"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88669-74B3-4595-81BF-98E22308D6CC}">
  <dimension ref="G1:H12"/>
  <sheetViews>
    <sheetView topLeftCell="C1" zoomScale="130" zoomScaleNormal="130" workbookViewId="0">
      <selection activeCell="F10" sqref="F10"/>
    </sheetView>
  </sheetViews>
  <sheetFormatPr defaultRowHeight="14.5" x14ac:dyDescent="0.35"/>
  <cols>
    <col min="6" max="6" width="8.36328125" customWidth="1"/>
    <col min="7" max="7" width="15.81640625" customWidth="1"/>
    <col min="8" max="8" width="12.7265625" customWidth="1"/>
    <col min="9" max="9" width="9.26953125" customWidth="1"/>
  </cols>
  <sheetData>
    <row r="1" spans="7:8" ht="14.5" customHeight="1" x14ac:dyDescent="0.35"/>
    <row r="2" spans="7:8" ht="14.5" customHeight="1" x14ac:dyDescent="0.35"/>
    <row r="4" spans="7:8" x14ac:dyDescent="0.35">
      <c r="G4" s="16" t="s">
        <v>223</v>
      </c>
      <c r="H4" s="16"/>
    </row>
    <row r="5" spans="7:8" x14ac:dyDescent="0.35">
      <c r="G5" s="3" t="s">
        <v>215</v>
      </c>
      <c r="H5" s="3">
        <f>AVERAGE(Household_Data!C:C)</f>
        <v>75182.02</v>
      </c>
    </row>
    <row r="6" spans="7:8" x14ac:dyDescent="0.35">
      <c r="G6" s="2" t="s">
        <v>216</v>
      </c>
      <c r="H6" s="2">
        <f>MEDIAN(Household_Data!C:C)</f>
        <v>72085</v>
      </c>
    </row>
    <row r="7" spans="7:8" x14ac:dyDescent="0.35">
      <c r="G7" s="3" t="s">
        <v>217</v>
      </c>
      <c r="H7" s="3">
        <f>MAX(Household_Data!C:C)</f>
        <v>149885</v>
      </c>
    </row>
    <row r="8" spans="7:8" x14ac:dyDescent="0.35">
      <c r="G8" s="2" t="s">
        <v>218</v>
      </c>
      <c r="H8" s="2">
        <f>MIN(Household_Data!C:C)</f>
        <v>10106</v>
      </c>
    </row>
    <row r="9" spans="7:8" x14ac:dyDescent="0.35">
      <c r="G9" s="3" t="s">
        <v>219</v>
      </c>
      <c r="H9" s="3">
        <f>STDEV(Household_Data!C:C)</f>
        <v>42285.054389740544</v>
      </c>
    </row>
    <row r="10" spans="7:8" x14ac:dyDescent="0.35">
      <c r="G10" s="2" t="s">
        <v>220</v>
      </c>
      <c r="H10" s="2">
        <f>QUARTILE(Household_Data!C:C,3)-QUARTILE(Household_Data!C:C,1)</f>
        <v>72998.5</v>
      </c>
    </row>
    <row r="11" spans="7:8" x14ac:dyDescent="0.35">
      <c r="G11" s="3" t="s">
        <v>221</v>
      </c>
      <c r="H11" s="3">
        <f>AVERAGE(Household_Data!E:E)</f>
        <v>5.5949999999999998</v>
      </c>
    </row>
    <row r="12" spans="7:8" x14ac:dyDescent="0.35">
      <c r="G12" s="2" t="s">
        <v>222</v>
      </c>
      <c r="H12" s="2">
        <f>AVERAGE(Household_Data!B:B)</f>
        <v>47.5</v>
      </c>
    </row>
  </sheetData>
  <mergeCells count="1">
    <mergeCell ref="G4:H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2652E-EDB3-4470-BAE1-57D6B94A10EF}">
  <dimension ref="A3:H58"/>
  <sheetViews>
    <sheetView zoomScale="115" zoomScaleNormal="115" workbookViewId="0">
      <selection activeCell="D17" sqref="D17"/>
    </sheetView>
  </sheetViews>
  <sheetFormatPr defaultRowHeight="14.5" x14ac:dyDescent="0.35"/>
  <cols>
    <col min="1" max="1" width="14.6328125" bestFit="1" customWidth="1"/>
    <col min="2" max="2" width="19.90625" bestFit="1" customWidth="1"/>
    <col min="4" max="4" width="14.6328125" bestFit="1" customWidth="1"/>
    <col min="5" max="5" width="20.54296875" bestFit="1" customWidth="1"/>
    <col min="7" max="7" width="14.6328125" style="1" bestFit="1" customWidth="1"/>
    <col min="8" max="8" width="26.7265625" style="1" bestFit="1" customWidth="1"/>
  </cols>
  <sheetData>
    <row r="3" spans="1:8" x14ac:dyDescent="0.35">
      <c r="A3" s="14" t="s">
        <v>224</v>
      </c>
      <c r="B3" s="1" t="s">
        <v>226</v>
      </c>
      <c r="D3" s="14" t="s">
        <v>224</v>
      </c>
      <c r="E3" s="1" t="s">
        <v>228</v>
      </c>
      <c r="G3" s="14" t="s">
        <v>224</v>
      </c>
      <c r="H3" s="1" t="s">
        <v>226</v>
      </c>
    </row>
    <row r="4" spans="1:8" x14ac:dyDescent="0.35">
      <c r="A4" s="1" t="s">
        <v>20</v>
      </c>
      <c r="B4" s="15">
        <v>82390.155172413797</v>
      </c>
      <c r="D4" s="1" t="s">
        <v>24</v>
      </c>
      <c r="E4" s="15">
        <v>97</v>
      </c>
      <c r="G4" s="1">
        <v>23</v>
      </c>
      <c r="H4" s="15">
        <v>51685.333333333336</v>
      </c>
    </row>
    <row r="5" spans="1:8" x14ac:dyDescent="0.35">
      <c r="A5" s="1" t="s">
        <v>17</v>
      </c>
      <c r="B5" s="15">
        <v>74832.541666666672</v>
      </c>
      <c r="D5" s="1" t="s">
        <v>10</v>
      </c>
      <c r="E5" s="15">
        <v>103</v>
      </c>
      <c r="G5" s="1">
        <v>24</v>
      </c>
      <c r="H5" s="15">
        <v>59793.5</v>
      </c>
    </row>
    <row r="6" spans="1:8" x14ac:dyDescent="0.35">
      <c r="A6" s="1" t="s">
        <v>8</v>
      </c>
      <c r="B6" s="15">
        <v>61884.177777777775</v>
      </c>
      <c r="D6" s="1" t="s">
        <v>227</v>
      </c>
      <c r="E6" s="15"/>
      <c r="G6" s="1">
        <v>25</v>
      </c>
      <c r="H6" s="15">
        <v>39737</v>
      </c>
    </row>
    <row r="7" spans="1:8" x14ac:dyDescent="0.35">
      <c r="A7" s="1" t="s">
        <v>14</v>
      </c>
      <c r="B7" s="15">
        <v>79204.591836734689</v>
      </c>
      <c r="D7" s="1" t="s">
        <v>225</v>
      </c>
      <c r="E7" s="15">
        <v>200</v>
      </c>
      <c r="G7" s="1">
        <v>26</v>
      </c>
      <c r="H7" s="15">
        <v>83070.166666666672</v>
      </c>
    </row>
    <row r="8" spans="1:8" x14ac:dyDescent="0.35">
      <c r="A8" s="1" t="s">
        <v>225</v>
      </c>
      <c r="B8" s="15">
        <v>75182.02</v>
      </c>
      <c r="D8" s="1"/>
      <c r="E8" s="1"/>
      <c r="G8" s="1">
        <v>27</v>
      </c>
      <c r="H8" s="15">
        <v>68480.600000000006</v>
      </c>
    </row>
    <row r="9" spans="1:8" x14ac:dyDescent="0.35">
      <c r="A9" s="1"/>
      <c r="B9" s="1"/>
      <c r="D9" s="1"/>
      <c r="E9" s="1"/>
      <c r="G9" s="1">
        <v>28</v>
      </c>
      <c r="H9" s="15">
        <v>106488</v>
      </c>
    </row>
    <row r="10" spans="1:8" x14ac:dyDescent="0.35">
      <c r="A10" s="14" t="s">
        <v>224</v>
      </c>
      <c r="B10" s="1" t="s">
        <v>229</v>
      </c>
      <c r="D10" s="14" t="s">
        <v>224</v>
      </c>
      <c r="E10" s="1" t="s">
        <v>228</v>
      </c>
      <c r="G10" s="1">
        <v>29</v>
      </c>
      <c r="H10" s="15">
        <v>96245.666666666672</v>
      </c>
    </row>
    <row r="11" spans="1:8" x14ac:dyDescent="0.35">
      <c r="A11" s="1" t="s">
        <v>20</v>
      </c>
      <c r="B11" s="15">
        <v>5.2931034482758621</v>
      </c>
      <c r="D11" s="1" t="s">
        <v>12</v>
      </c>
      <c r="E11" s="15">
        <v>109</v>
      </c>
      <c r="G11" s="1">
        <v>30</v>
      </c>
      <c r="H11" s="15">
        <v>70127.600000000006</v>
      </c>
    </row>
    <row r="12" spans="1:8" x14ac:dyDescent="0.35">
      <c r="A12" s="1" t="s">
        <v>17</v>
      </c>
      <c r="B12" s="15">
        <v>5.875</v>
      </c>
      <c r="D12" s="1" t="s">
        <v>9</v>
      </c>
      <c r="E12" s="15">
        <v>91</v>
      </c>
      <c r="G12" s="1">
        <v>31</v>
      </c>
      <c r="H12" s="15">
        <v>51027</v>
      </c>
    </row>
    <row r="13" spans="1:8" x14ac:dyDescent="0.35">
      <c r="A13" s="1" t="s">
        <v>8</v>
      </c>
      <c r="B13" s="15">
        <v>5.6888888888888891</v>
      </c>
      <c r="D13" s="1" t="s">
        <v>227</v>
      </c>
      <c r="E13" s="15"/>
      <c r="G13" s="1">
        <v>32</v>
      </c>
      <c r="H13" s="15">
        <v>67705</v>
      </c>
    </row>
    <row r="14" spans="1:8" x14ac:dyDescent="0.35">
      <c r="A14" s="1" t="s">
        <v>14</v>
      </c>
      <c r="B14" s="15">
        <v>5.591836734693878</v>
      </c>
      <c r="D14" s="1" t="s">
        <v>225</v>
      </c>
      <c r="E14" s="15">
        <v>200</v>
      </c>
      <c r="G14" s="1">
        <v>33</v>
      </c>
      <c r="H14" s="15">
        <v>75669.666666666672</v>
      </c>
    </row>
    <row r="15" spans="1:8" x14ac:dyDescent="0.35">
      <c r="A15" s="1" t="s">
        <v>227</v>
      </c>
      <c r="B15" s="15"/>
      <c r="G15" s="1">
        <v>34</v>
      </c>
      <c r="H15" s="15">
        <v>82695.5</v>
      </c>
    </row>
    <row r="16" spans="1:8" x14ac:dyDescent="0.35">
      <c r="A16" s="1" t="s">
        <v>225</v>
      </c>
      <c r="B16" s="15">
        <v>5.5949999999999998</v>
      </c>
      <c r="G16" s="1">
        <v>35</v>
      </c>
      <c r="H16" s="15">
        <v>89932.666666666672</v>
      </c>
    </row>
    <row r="17" spans="7:8" x14ac:dyDescent="0.35">
      <c r="G17" s="1">
        <v>36</v>
      </c>
      <c r="H17" s="15">
        <v>62653.25</v>
      </c>
    </row>
    <row r="18" spans="7:8" x14ac:dyDescent="0.35">
      <c r="G18" s="1">
        <v>37</v>
      </c>
      <c r="H18" s="15">
        <v>67445.833333333328</v>
      </c>
    </row>
    <row r="19" spans="7:8" x14ac:dyDescent="0.35">
      <c r="G19" s="1">
        <v>38</v>
      </c>
      <c r="H19" s="15">
        <v>38122.666666666664</v>
      </c>
    </row>
    <row r="20" spans="7:8" x14ac:dyDescent="0.35">
      <c r="G20" s="1">
        <v>39</v>
      </c>
      <c r="H20" s="15">
        <v>48786.333333333336</v>
      </c>
    </row>
    <row r="21" spans="7:8" x14ac:dyDescent="0.35">
      <c r="G21" s="1">
        <v>40</v>
      </c>
      <c r="H21" s="15">
        <v>88264</v>
      </c>
    </row>
    <row r="22" spans="7:8" x14ac:dyDescent="0.35">
      <c r="G22" s="1">
        <v>41</v>
      </c>
      <c r="H22" s="15">
        <v>97107.5</v>
      </c>
    </row>
    <row r="23" spans="7:8" x14ac:dyDescent="0.35">
      <c r="G23" s="1">
        <v>42</v>
      </c>
      <c r="H23" s="15">
        <v>105057.5</v>
      </c>
    </row>
    <row r="24" spans="7:8" x14ac:dyDescent="0.35">
      <c r="G24" s="1">
        <v>43</v>
      </c>
      <c r="H24" s="15">
        <v>103381.75</v>
      </c>
    </row>
    <row r="25" spans="7:8" x14ac:dyDescent="0.35">
      <c r="G25" s="1">
        <v>44</v>
      </c>
      <c r="H25" s="15">
        <v>91679</v>
      </c>
    </row>
    <row r="26" spans="7:8" x14ac:dyDescent="0.35">
      <c r="G26" s="1">
        <v>45</v>
      </c>
      <c r="H26" s="15">
        <v>100812.5</v>
      </c>
    </row>
    <row r="27" spans="7:8" x14ac:dyDescent="0.35">
      <c r="G27" s="1">
        <v>46</v>
      </c>
      <c r="H27" s="15">
        <v>61558.166666666664</v>
      </c>
    </row>
    <row r="28" spans="7:8" x14ac:dyDescent="0.35">
      <c r="G28" s="1">
        <v>47</v>
      </c>
      <c r="H28" s="15">
        <v>49712</v>
      </c>
    </row>
    <row r="29" spans="7:8" x14ac:dyDescent="0.35">
      <c r="G29" s="1">
        <v>48</v>
      </c>
      <c r="H29" s="15">
        <v>111056.57142857143</v>
      </c>
    </row>
    <row r="30" spans="7:8" x14ac:dyDescent="0.35">
      <c r="G30" s="1">
        <v>49</v>
      </c>
      <c r="H30" s="15">
        <v>86691.5</v>
      </c>
    </row>
    <row r="31" spans="7:8" x14ac:dyDescent="0.35">
      <c r="G31" s="1">
        <v>50</v>
      </c>
      <c r="H31" s="15">
        <v>99952</v>
      </c>
    </row>
    <row r="32" spans="7:8" x14ac:dyDescent="0.35">
      <c r="G32" s="1">
        <v>51</v>
      </c>
      <c r="H32" s="15">
        <v>65779.333333333328</v>
      </c>
    </row>
    <row r="33" spans="7:8" x14ac:dyDescent="0.35">
      <c r="G33" s="1">
        <v>52</v>
      </c>
      <c r="H33" s="15">
        <v>60644.333333333336</v>
      </c>
    </row>
    <row r="34" spans="7:8" x14ac:dyDescent="0.35">
      <c r="G34" s="1">
        <v>53</v>
      </c>
      <c r="H34" s="15">
        <v>90070.333333333328</v>
      </c>
    </row>
    <row r="35" spans="7:8" x14ac:dyDescent="0.35">
      <c r="G35" s="1">
        <v>54</v>
      </c>
      <c r="H35" s="15">
        <v>97858</v>
      </c>
    </row>
    <row r="36" spans="7:8" x14ac:dyDescent="0.35">
      <c r="G36" s="1">
        <v>55</v>
      </c>
      <c r="H36" s="15">
        <v>104374.83333333333</v>
      </c>
    </row>
    <row r="37" spans="7:8" x14ac:dyDescent="0.35">
      <c r="G37" s="1">
        <v>56</v>
      </c>
      <c r="H37" s="15">
        <v>89577</v>
      </c>
    </row>
    <row r="38" spans="7:8" x14ac:dyDescent="0.35">
      <c r="G38" s="1">
        <v>57</v>
      </c>
      <c r="H38" s="15">
        <v>27162</v>
      </c>
    </row>
    <row r="39" spans="7:8" x14ac:dyDescent="0.35">
      <c r="G39" s="1">
        <v>58</v>
      </c>
      <c r="H39" s="15">
        <v>40719.5</v>
      </c>
    </row>
    <row r="40" spans="7:8" x14ac:dyDescent="0.35">
      <c r="G40" s="1">
        <v>59</v>
      </c>
      <c r="H40" s="15">
        <v>61875</v>
      </c>
    </row>
    <row r="41" spans="7:8" x14ac:dyDescent="0.35">
      <c r="G41" s="1">
        <v>60</v>
      </c>
      <c r="H41" s="15">
        <v>40757.5</v>
      </c>
    </row>
    <row r="42" spans="7:8" x14ac:dyDescent="0.35">
      <c r="G42" s="1">
        <v>61</v>
      </c>
      <c r="H42" s="15">
        <v>87517</v>
      </c>
    </row>
    <row r="43" spans="7:8" x14ac:dyDescent="0.35">
      <c r="G43" s="1">
        <v>62</v>
      </c>
      <c r="H43" s="15">
        <v>107651.25</v>
      </c>
    </row>
    <row r="44" spans="7:8" x14ac:dyDescent="0.35">
      <c r="G44" s="1">
        <v>63</v>
      </c>
      <c r="H44" s="15">
        <v>13868</v>
      </c>
    </row>
    <row r="45" spans="7:8" x14ac:dyDescent="0.35">
      <c r="G45" s="1">
        <v>64</v>
      </c>
      <c r="H45" s="15">
        <v>58049.714285714283</v>
      </c>
    </row>
    <row r="46" spans="7:8" x14ac:dyDescent="0.35">
      <c r="G46" s="1">
        <v>65</v>
      </c>
      <c r="H46" s="15">
        <v>51782</v>
      </c>
    </row>
    <row r="47" spans="7:8" x14ac:dyDescent="0.35">
      <c r="G47" s="1">
        <v>66</v>
      </c>
      <c r="H47" s="15">
        <v>61328.5</v>
      </c>
    </row>
    <row r="48" spans="7:8" x14ac:dyDescent="0.35">
      <c r="G48" s="1">
        <v>67</v>
      </c>
      <c r="H48" s="15">
        <v>66104</v>
      </c>
    </row>
    <row r="49" spans="7:8" x14ac:dyDescent="0.35">
      <c r="G49" s="1">
        <v>68</v>
      </c>
      <c r="H49" s="15">
        <v>108507</v>
      </c>
    </row>
    <row r="50" spans="7:8" x14ac:dyDescent="0.35">
      <c r="G50" s="1">
        <v>69</v>
      </c>
      <c r="H50" s="15">
        <v>83299</v>
      </c>
    </row>
    <row r="51" spans="7:8" x14ac:dyDescent="0.35">
      <c r="G51" s="1">
        <v>70</v>
      </c>
      <c r="H51" s="15">
        <v>51853</v>
      </c>
    </row>
    <row r="52" spans="7:8" x14ac:dyDescent="0.35">
      <c r="G52" s="1">
        <v>71</v>
      </c>
      <c r="H52" s="15">
        <v>86110.5</v>
      </c>
    </row>
    <row r="53" spans="7:8" x14ac:dyDescent="0.35">
      <c r="G53" s="1">
        <v>72</v>
      </c>
      <c r="H53" s="15">
        <v>71559.5</v>
      </c>
    </row>
    <row r="54" spans="7:8" x14ac:dyDescent="0.35">
      <c r="G54" s="1">
        <v>73</v>
      </c>
      <c r="H54" s="15">
        <v>108614</v>
      </c>
    </row>
    <row r="55" spans="7:8" x14ac:dyDescent="0.35">
      <c r="G55" s="1">
        <v>74</v>
      </c>
      <c r="H55" s="15">
        <v>71079</v>
      </c>
    </row>
    <row r="56" spans="7:8" x14ac:dyDescent="0.35">
      <c r="G56" s="1">
        <v>75</v>
      </c>
      <c r="H56" s="15">
        <v>88403</v>
      </c>
    </row>
    <row r="57" spans="7:8" x14ac:dyDescent="0.35">
      <c r="G57" s="1" t="s">
        <v>227</v>
      </c>
      <c r="H57" s="15"/>
    </row>
    <row r="58" spans="7:8" x14ac:dyDescent="0.35">
      <c r="G58" s="1" t="s">
        <v>225</v>
      </c>
      <c r="H58" s="15">
        <v>75182.02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1A517-4DCF-4B61-9FFE-671F37221A60}">
  <dimension ref="A1"/>
  <sheetViews>
    <sheetView showGridLines="0" zoomScale="60" zoomScaleNormal="60" workbookViewId="0">
      <selection activeCell="T12" sqref="T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78F85-E127-406D-9D4A-2668B74DB2BE}">
  <dimension ref="A1"/>
  <sheetViews>
    <sheetView showGridLines="0" tabSelected="1" zoomScale="85" zoomScaleNormal="85" workbookViewId="0">
      <selection activeCell="T16" sqref="T16"/>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Household_Data</vt:lpstr>
      <vt:lpstr>Statistics</vt:lpstr>
      <vt:lpstr>Pivot Tables</vt:lpstr>
      <vt:lpstr>Dashboard</vt:lpstr>
      <vt:lpstr>Data Story &amp;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2026-05-31T17:22:58Z</dcterms:created>
  <dcterms:modified xsi:type="dcterms:W3CDTF">2026-06-01T09:24:38Z</dcterms:modified>
</cp:coreProperties>
</file>